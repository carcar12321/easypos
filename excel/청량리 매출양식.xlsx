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x\new\excel\"/>
    </mc:Choice>
  </mc:AlternateContent>
  <bookViews>
    <workbookView xWindow="0" yWindow="0" windowWidth="28800" windowHeight="12228" tabRatio="909" activeTab="9"/>
  </bookViews>
  <sheets>
    <sheet name="라멘짱(포스도입)" sheetId="1" r:id="rId1"/>
    <sheet name="삼송빵집(포스도입)" sheetId="2" r:id="rId2"/>
    <sheet name="한국집(포스도입)" sheetId="3" r:id="rId3"/>
    <sheet name="시마스시(포스도입) " sheetId="4" r:id="rId4"/>
    <sheet name="배꼽집" sheetId="5" r:id="rId5"/>
    <sheet name=" 카페드페소니아pos" sheetId="6" r:id="rId6"/>
    <sheet name="태극당(정식매장)" sheetId="7" r:id="rId7"/>
    <sheet name="홍대개미(포스도입)" sheetId="8" r:id="rId8"/>
    <sheet name="사보텐(포스도입)" sheetId="9" r:id="rId9"/>
    <sheet name="마호가니(포스도입)" sheetId="10" r:id="rId10"/>
  </sheets>
  <definedNames>
    <definedName name="_xlnm._FilterDatabase" localSheetId="5" hidden="1">' 카페드페소니아pos'!$A$3:$V$38</definedName>
    <definedName name="_xlnm._FilterDatabase" localSheetId="0" hidden="1">'라멘짱(포스도입)'!$A$3:$W$37</definedName>
    <definedName name="_xlnm._FilterDatabase" localSheetId="9" hidden="1">'마호가니(포스도입)'!$A$3:$W$38</definedName>
    <definedName name="_xlnm._FilterDatabase" localSheetId="4" hidden="1">배꼽집!$A$3:$V$38</definedName>
    <definedName name="_xlnm._FilterDatabase" localSheetId="8" hidden="1">'사보텐(포스도입)'!$A$3:$V$38</definedName>
    <definedName name="_xlnm._FilterDatabase" localSheetId="1" hidden="1">'삼송빵집(포스도입)'!$A$3:$W$38</definedName>
    <definedName name="_xlnm._FilterDatabase" localSheetId="3" hidden="1">'시마스시(포스도입) '!$A$3:$W$37</definedName>
    <definedName name="_xlnm._FilterDatabase" localSheetId="6" hidden="1">'태극당(정식매장)'!$A$3:$V$38</definedName>
    <definedName name="_xlnm._FilterDatabase" localSheetId="2" hidden="1">'한국집(포스도입)'!$A$3:$X$37</definedName>
    <definedName name="_xlnm._FilterDatabase" localSheetId="7" hidden="1">'홍대개미(포스도입)'!$A$3:$AF$47</definedName>
    <definedName name="_xlnm.Print_Area" localSheetId="5">' 카페드페소니아pos'!$A$1:$D$35</definedName>
    <definedName name="_xlnm.Print_Area" localSheetId="0">'라멘짱(포스도입)'!$A$1:$D$35</definedName>
    <definedName name="_xlnm.Print_Area" localSheetId="9">'마호가니(포스도입)'!$A$1:$H$35</definedName>
    <definedName name="_xlnm.Print_Area" localSheetId="8">'사보텐(포스도입)'!$A$1:$D$35</definedName>
    <definedName name="_xlnm.Print_Area" localSheetId="1">'삼송빵집(포스도입)'!$A$1:$D$35</definedName>
    <definedName name="_xlnm.Print_Area" localSheetId="3">'시마스시(포스도입) '!$A$1:$D$35</definedName>
    <definedName name="_xlnm.Print_Area" localSheetId="6">'태극당(정식매장)'!$A$1:$D$35</definedName>
    <definedName name="_xlnm.Print_Area" localSheetId="2">'한국집(포스도입)'!$A$1:$D$35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10" l="1"/>
  <c r="T35" i="10"/>
  <c r="S35" i="10"/>
  <c r="R35" i="10"/>
  <c r="Q35" i="10"/>
  <c r="P35" i="10"/>
  <c r="O35" i="10"/>
  <c r="N35" i="10"/>
  <c r="M35" i="10"/>
  <c r="L35" i="10"/>
  <c r="I35" i="10"/>
  <c r="H35" i="10"/>
  <c r="G35" i="10"/>
  <c r="E35" i="10"/>
  <c r="C35" i="10"/>
  <c r="B35" i="10"/>
  <c r="V34" i="10"/>
  <c r="J34" i="10"/>
  <c r="F34" i="10"/>
  <c r="D34" i="10"/>
  <c r="V33" i="10"/>
  <c r="J33" i="10"/>
  <c r="D33" i="10"/>
  <c r="F33" i="10" s="1"/>
  <c r="V32" i="10"/>
  <c r="J32" i="10"/>
  <c r="F32" i="10"/>
  <c r="D32" i="10"/>
  <c r="V31" i="10"/>
  <c r="J31" i="10"/>
  <c r="D31" i="10"/>
  <c r="F31" i="10" s="1"/>
  <c r="V30" i="10"/>
  <c r="J30" i="10"/>
  <c r="F30" i="10"/>
  <c r="D30" i="10"/>
  <c r="V29" i="10"/>
  <c r="J29" i="10"/>
  <c r="D29" i="10"/>
  <c r="F29" i="10" s="1"/>
  <c r="V28" i="10"/>
  <c r="J28" i="10"/>
  <c r="F28" i="10"/>
  <c r="D28" i="10"/>
  <c r="V27" i="10"/>
  <c r="J27" i="10"/>
  <c r="D27" i="10"/>
  <c r="F27" i="10" s="1"/>
  <c r="V26" i="10"/>
  <c r="J26" i="10"/>
  <c r="F26" i="10"/>
  <c r="D26" i="10"/>
  <c r="V25" i="10"/>
  <c r="J25" i="10"/>
  <c r="D25" i="10"/>
  <c r="F25" i="10" s="1"/>
  <c r="V24" i="10"/>
  <c r="J24" i="10"/>
  <c r="F24" i="10"/>
  <c r="D24" i="10"/>
  <c r="V23" i="10"/>
  <c r="J23" i="10"/>
  <c r="D23" i="10"/>
  <c r="F23" i="10" s="1"/>
  <c r="V22" i="10"/>
  <c r="J22" i="10"/>
  <c r="F22" i="10"/>
  <c r="D22" i="10"/>
  <c r="V21" i="10"/>
  <c r="J21" i="10"/>
  <c r="D21" i="10"/>
  <c r="F21" i="10" s="1"/>
  <c r="V20" i="10"/>
  <c r="J20" i="10"/>
  <c r="F20" i="10"/>
  <c r="D20" i="10"/>
  <c r="V19" i="10"/>
  <c r="D19" i="10" s="1"/>
  <c r="F19" i="10" s="1"/>
  <c r="J19" i="10"/>
  <c r="V18" i="10"/>
  <c r="J18" i="10"/>
  <c r="F18" i="10"/>
  <c r="D18" i="10"/>
  <c r="V17" i="10"/>
  <c r="D17" i="10" s="1"/>
  <c r="F17" i="10" s="1"/>
  <c r="J17" i="10"/>
  <c r="V16" i="10"/>
  <c r="J16" i="10"/>
  <c r="F16" i="10"/>
  <c r="D16" i="10"/>
  <c r="V15" i="10"/>
  <c r="D15" i="10" s="1"/>
  <c r="F15" i="10" s="1"/>
  <c r="J15" i="10"/>
  <c r="V14" i="10"/>
  <c r="J14" i="10"/>
  <c r="F14" i="10"/>
  <c r="D14" i="10"/>
  <c r="V13" i="10"/>
  <c r="D13" i="10" s="1"/>
  <c r="F13" i="10" s="1"/>
  <c r="J13" i="10"/>
  <c r="V12" i="10"/>
  <c r="J12" i="10"/>
  <c r="F12" i="10"/>
  <c r="D12" i="10"/>
  <c r="V11" i="10"/>
  <c r="D11" i="10" s="1"/>
  <c r="F11" i="10" s="1"/>
  <c r="J11" i="10"/>
  <c r="V10" i="10"/>
  <c r="J10" i="10"/>
  <c r="F10" i="10"/>
  <c r="D10" i="10"/>
  <c r="V9" i="10"/>
  <c r="D9" i="10" s="1"/>
  <c r="F9" i="10" s="1"/>
  <c r="J9" i="10"/>
  <c r="V8" i="10"/>
  <c r="D8" i="10" s="1"/>
  <c r="F8" i="10" s="1"/>
  <c r="J8" i="10"/>
  <c r="V7" i="10"/>
  <c r="D7" i="10" s="1"/>
  <c r="F7" i="10" s="1"/>
  <c r="J7" i="10"/>
  <c r="V6" i="10"/>
  <c r="D6" i="10" s="1"/>
  <c r="F6" i="10" s="1"/>
  <c r="J6" i="10"/>
  <c r="V5" i="10"/>
  <c r="D5" i="10" s="1"/>
  <c r="F5" i="10" s="1"/>
  <c r="J5" i="10"/>
  <c r="V4" i="10"/>
  <c r="V35" i="10" s="1"/>
  <c r="J4" i="10"/>
  <c r="J35" i="10" s="1"/>
  <c r="U35" i="9"/>
  <c r="T35" i="9"/>
  <c r="S35" i="9"/>
  <c r="R35" i="9"/>
  <c r="Q35" i="9"/>
  <c r="P35" i="9"/>
  <c r="O35" i="9"/>
  <c r="N35" i="9"/>
  <c r="M35" i="9"/>
  <c r="L35" i="9"/>
  <c r="I35" i="9"/>
  <c r="H35" i="9"/>
  <c r="G35" i="9"/>
  <c r="E35" i="9"/>
  <c r="C35" i="9"/>
  <c r="B35" i="9"/>
  <c r="V34" i="9"/>
  <c r="J34" i="9"/>
  <c r="F34" i="9"/>
  <c r="D34" i="9"/>
  <c r="V33" i="9"/>
  <c r="D33" i="9" s="1"/>
  <c r="F33" i="9" s="1"/>
  <c r="J33" i="9"/>
  <c r="V32" i="9"/>
  <c r="J32" i="9"/>
  <c r="F32" i="9"/>
  <c r="D32" i="9"/>
  <c r="V31" i="9"/>
  <c r="D31" i="9" s="1"/>
  <c r="F31" i="9" s="1"/>
  <c r="J31" i="9"/>
  <c r="V30" i="9"/>
  <c r="J30" i="9"/>
  <c r="F30" i="9"/>
  <c r="D30" i="9"/>
  <c r="V29" i="9"/>
  <c r="D29" i="9" s="1"/>
  <c r="F29" i="9" s="1"/>
  <c r="J29" i="9"/>
  <c r="V28" i="9"/>
  <c r="J28" i="9"/>
  <c r="F28" i="9"/>
  <c r="D28" i="9"/>
  <c r="V27" i="9"/>
  <c r="D27" i="9" s="1"/>
  <c r="F27" i="9" s="1"/>
  <c r="J27" i="9"/>
  <c r="V26" i="9"/>
  <c r="J26" i="9"/>
  <c r="F26" i="9"/>
  <c r="D26" i="9"/>
  <c r="V25" i="9"/>
  <c r="D25" i="9" s="1"/>
  <c r="F25" i="9" s="1"/>
  <c r="J25" i="9"/>
  <c r="V24" i="9"/>
  <c r="J24" i="9"/>
  <c r="F24" i="9"/>
  <c r="D24" i="9"/>
  <c r="V23" i="9"/>
  <c r="D23" i="9" s="1"/>
  <c r="F23" i="9" s="1"/>
  <c r="J23" i="9"/>
  <c r="V22" i="9"/>
  <c r="J22" i="9"/>
  <c r="F22" i="9"/>
  <c r="D22" i="9"/>
  <c r="V21" i="9"/>
  <c r="D21" i="9" s="1"/>
  <c r="F21" i="9" s="1"/>
  <c r="J21" i="9"/>
  <c r="V20" i="9"/>
  <c r="J20" i="9"/>
  <c r="F20" i="9"/>
  <c r="D20" i="9"/>
  <c r="V19" i="9"/>
  <c r="D19" i="9" s="1"/>
  <c r="F19" i="9" s="1"/>
  <c r="J19" i="9"/>
  <c r="V18" i="9"/>
  <c r="J18" i="9"/>
  <c r="F18" i="9"/>
  <c r="D18" i="9"/>
  <c r="V17" i="9"/>
  <c r="D17" i="9" s="1"/>
  <c r="F17" i="9" s="1"/>
  <c r="J17" i="9"/>
  <c r="V16" i="9"/>
  <c r="J16" i="9"/>
  <c r="F16" i="9"/>
  <c r="D16" i="9"/>
  <c r="V15" i="9"/>
  <c r="D15" i="9" s="1"/>
  <c r="F15" i="9" s="1"/>
  <c r="J15" i="9"/>
  <c r="V14" i="9"/>
  <c r="J14" i="9"/>
  <c r="F14" i="9"/>
  <c r="D14" i="9"/>
  <c r="V13" i="9"/>
  <c r="D13" i="9" s="1"/>
  <c r="F13" i="9" s="1"/>
  <c r="J13" i="9"/>
  <c r="V12" i="9"/>
  <c r="J12" i="9"/>
  <c r="F12" i="9"/>
  <c r="D12" i="9"/>
  <c r="V11" i="9"/>
  <c r="D11" i="9" s="1"/>
  <c r="F11" i="9" s="1"/>
  <c r="J11" i="9"/>
  <c r="V10" i="9"/>
  <c r="J10" i="9"/>
  <c r="F10" i="9"/>
  <c r="D10" i="9"/>
  <c r="V9" i="9"/>
  <c r="D9" i="9" s="1"/>
  <c r="F9" i="9" s="1"/>
  <c r="J9" i="9"/>
  <c r="V8" i="9"/>
  <c r="J8" i="9"/>
  <c r="F8" i="9"/>
  <c r="D8" i="9"/>
  <c r="V7" i="9"/>
  <c r="D7" i="9" s="1"/>
  <c r="F7" i="9" s="1"/>
  <c r="J7" i="9"/>
  <c r="V6" i="9"/>
  <c r="J6" i="9"/>
  <c r="F6" i="9"/>
  <c r="D6" i="9"/>
  <c r="V5" i="9"/>
  <c r="D5" i="9" s="1"/>
  <c r="F5" i="9" s="1"/>
  <c r="J5" i="9"/>
  <c r="V4" i="9"/>
  <c r="V35" i="9" s="1"/>
  <c r="J4" i="9"/>
  <c r="J35" i="9" s="1"/>
  <c r="F4" i="9"/>
  <c r="D4" i="9"/>
  <c r="U35" i="8"/>
  <c r="T35" i="8"/>
  <c r="S35" i="8"/>
  <c r="R35" i="8"/>
  <c r="Q35" i="8"/>
  <c r="P35" i="8"/>
  <c r="O35" i="8"/>
  <c r="N35" i="8"/>
  <c r="M35" i="8"/>
  <c r="L35" i="8"/>
  <c r="I35" i="8"/>
  <c r="H35" i="8"/>
  <c r="G35" i="8"/>
  <c r="E35" i="8"/>
  <c r="C35" i="8"/>
  <c r="B35" i="8"/>
  <c r="V34" i="8"/>
  <c r="J34" i="8"/>
  <c r="D34" i="8"/>
  <c r="F34" i="8" s="1"/>
  <c r="V33" i="8"/>
  <c r="D33" i="8" s="1"/>
  <c r="F33" i="8" s="1"/>
  <c r="J33" i="8"/>
  <c r="V32" i="8"/>
  <c r="J32" i="8"/>
  <c r="D32" i="8"/>
  <c r="F32" i="8" s="1"/>
  <c r="V31" i="8"/>
  <c r="D31" i="8" s="1"/>
  <c r="F31" i="8" s="1"/>
  <c r="J31" i="8"/>
  <c r="V30" i="8"/>
  <c r="J30" i="8"/>
  <c r="D30" i="8"/>
  <c r="F30" i="8" s="1"/>
  <c r="V29" i="8"/>
  <c r="D29" i="8" s="1"/>
  <c r="F29" i="8" s="1"/>
  <c r="J29" i="8"/>
  <c r="V28" i="8"/>
  <c r="J28" i="8"/>
  <c r="D28" i="8"/>
  <c r="F28" i="8" s="1"/>
  <c r="V27" i="8"/>
  <c r="D27" i="8" s="1"/>
  <c r="F27" i="8" s="1"/>
  <c r="J27" i="8"/>
  <c r="V26" i="8"/>
  <c r="J26" i="8"/>
  <c r="D26" i="8"/>
  <c r="F26" i="8" s="1"/>
  <c r="V25" i="8"/>
  <c r="D25" i="8" s="1"/>
  <c r="F25" i="8" s="1"/>
  <c r="J25" i="8"/>
  <c r="V24" i="8"/>
  <c r="J24" i="8"/>
  <c r="D24" i="8"/>
  <c r="F24" i="8" s="1"/>
  <c r="V23" i="8"/>
  <c r="D23" i="8" s="1"/>
  <c r="F23" i="8" s="1"/>
  <c r="J23" i="8"/>
  <c r="V22" i="8"/>
  <c r="J22" i="8"/>
  <c r="D22" i="8"/>
  <c r="F22" i="8" s="1"/>
  <c r="V21" i="8"/>
  <c r="D21" i="8" s="1"/>
  <c r="F21" i="8" s="1"/>
  <c r="J21" i="8"/>
  <c r="V20" i="8"/>
  <c r="J20" i="8"/>
  <c r="D20" i="8"/>
  <c r="F20" i="8" s="1"/>
  <c r="V19" i="8"/>
  <c r="D19" i="8" s="1"/>
  <c r="F19" i="8" s="1"/>
  <c r="J19" i="8"/>
  <c r="V18" i="8"/>
  <c r="J18" i="8"/>
  <c r="D18" i="8"/>
  <c r="F18" i="8" s="1"/>
  <c r="V17" i="8"/>
  <c r="D17" i="8" s="1"/>
  <c r="F17" i="8" s="1"/>
  <c r="J17" i="8"/>
  <c r="V16" i="8"/>
  <c r="J16" i="8"/>
  <c r="D16" i="8"/>
  <c r="F16" i="8" s="1"/>
  <c r="V15" i="8"/>
  <c r="D15" i="8" s="1"/>
  <c r="F15" i="8" s="1"/>
  <c r="J15" i="8"/>
  <c r="V14" i="8"/>
  <c r="J14" i="8"/>
  <c r="D14" i="8"/>
  <c r="F14" i="8" s="1"/>
  <c r="V13" i="8"/>
  <c r="D13" i="8" s="1"/>
  <c r="F13" i="8" s="1"/>
  <c r="J13" i="8"/>
  <c r="V12" i="8"/>
  <c r="J12" i="8"/>
  <c r="D12" i="8"/>
  <c r="F12" i="8" s="1"/>
  <c r="V11" i="8"/>
  <c r="D11" i="8" s="1"/>
  <c r="F11" i="8" s="1"/>
  <c r="J11" i="8"/>
  <c r="V10" i="8"/>
  <c r="J10" i="8"/>
  <c r="D10" i="8"/>
  <c r="F10" i="8" s="1"/>
  <c r="V9" i="8"/>
  <c r="D9" i="8" s="1"/>
  <c r="F9" i="8" s="1"/>
  <c r="J9" i="8"/>
  <c r="V8" i="8"/>
  <c r="J8" i="8"/>
  <c r="D8" i="8"/>
  <c r="F8" i="8" s="1"/>
  <c r="V7" i="8"/>
  <c r="D7" i="8" s="1"/>
  <c r="F7" i="8" s="1"/>
  <c r="J7" i="8"/>
  <c r="V6" i="8"/>
  <c r="J6" i="8"/>
  <c r="D6" i="8"/>
  <c r="F6" i="8" s="1"/>
  <c r="V5" i="8"/>
  <c r="D5" i="8" s="1"/>
  <c r="F5" i="8" s="1"/>
  <c r="J5" i="8"/>
  <c r="V4" i="8"/>
  <c r="V35" i="8" s="1"/>
  <c r="J4" i="8"/>
  <c r="J35" i="8" s="1"/>
  <c r="D4" i="8"/>
  <c r="U35" i="7"/>
  <c r="T35" i="7"/>
  <c r="S35" i="7"/>
  <c r="R35" i="7"/>
  <c r="Q35" i="7"/>
  <c r="P35" i="7"/>
  <c r="O35" i="7"/>
  <c r="N35" i="7"/>
  <c r="M35" i="7"/>
  <c r="L35" i="7"/>
  <c r="I35" i="7"/>
  <c r="H35" i="7"/>
  <c r="G35" i="7"/>
  <c r="E35" i="7"/>
  <c r="C35" i="7"/>
  <c r="B35" i="7"/>
  <c r="V34" i="7"/>
  <c r="J34" i="7"/>
  <c r="D34" i="7"/>
  <c r="F34" i="7" s="1"/>
  <c r="V33" i="7"/>
  <c r="D33" i="7" s="1"/>
  <c r="F33" i="7" s="1"/>
  <c r="J33" i="7"/>
  <c r="V32" i="7"/>
  <c r="J32" i="7"/>
  <c r="D32" i="7"/>
  <c r="F32" i="7" s="1"/>
  <c r="V31" i="7"/>
  <c r="J31" i="7"/>
  <c r="D31" i="7"/>
  <c r="F31" i="7" s="1"/>
  <c r="V30" i="7"/>
  <c r="J30" i="7"/>
  <c r="D30" i="7"/>
  <c r="F30" i="7" s="1"/>
  <c r="V29" i="7"/>
  <c r="J29" i="7"/>
  <c r="D29" i="7"/>
  <c r="F29" i="7" s="1"/>
  <c r="V28" i="7"/>
  <c r="J28" i="7"/>
  <c r="D28" i="7"/>
  <c r="F28" i="7" s="1"/>
  <c r="V27" i="7"/>
  <c r="J27" i="7"/>
  <c r="D27" i="7"/>
  <c r="F27" i="7" s="1"/>
  <c r="V26" i="7"/>
  <c r="J26" i="7"/>
  <c r="D26" i="7"/>
  <c r="F26" i="7" s="1"/>
  <c r="V25" i="7"/>
  <c r="J25" i="7"/>
  <c r="D25" i="7"/>
  <c r="F25" i="7" s="1"/>
  <c r="V24" i="7"/>
  <c r="J24" i="7"/>
  <c r="D24" i="7"/>
  <c r="F24" i="7" s="1"/>
  <c r="V23" i="7"/>
  <c r="J23" i="7"/>
  <c r="D23" i="7"/>
  <c r="F23" i="7" s="1"/>
  <c r="V22" i="7"/>
  <c r="J22" i="7"/>
  <c r="D22" i="7"/>
  <c r="F22" i="7" s="1"/>
  <c r="V21" i="7"/>
  <c r="D21" i="7" s="1"/>
  <c r="F21" i="7" s="1"/>
  <c r="J21" i="7"/>
  <c r="V20" i="7"/>
  <c r="J20" i="7"/>
  <c r="D20" i="7"/>
  <c r="F20" i="7" s="1"/>
  <c r="V19" i="7"/>
  <c r="D19" i="7" s="1"/>
  <c r="F19" i="7" s="1"/>
  <c r="J19" i="7"/>
  <c r="V18" i="7"/>
  <c r="J18" i="7"/>
  <c r="D18" i="7"/>
  <c r="F18" i="7" s="1"/>
  <c r="V17" i="7"/>
  <c r="D17" i="7" s="1"/>
  <c r="F17" i="7" s="1"/>
  <c r="J17" i="7"/>
  <c r="V16" i="7"/>
  <c r="J16" i="7"/>
  <c r="D16" i="7"/>
  <c r="F16" i="7" s="1"/>
  <c r="V15" i="7"/>
  <c r="D15" i="7" s="1"/>
  <c r="F15" i="7" s="1"/>
  <c r="J15" i="7"/>
  <c r="V14" i="7"/>
  <c r="J14" i="7"/>
  <c r="D14" i="7"/>
  <c r="F14" i="7" s="1"/>
  <c r="V13" i="7"/>
  <c r="D13" i="7" s="1"/>
  <c r="F13" i="7" s="1"/>
  <c r="J13" i="7"/>
  <c r="V12" i="7"/>
  <c r="J12" i="7"/>
  <c r="D12" i="7"/>
  <c r="F12" i="7" s="1"/>
  <c r="V11" i="7"/>
  <c r="D11" i="7" s="1"/>
  <c r="F11" i="7" s="1"/>
  <c r="J11" i="7"/>
  <c r="V10" i="7"/>
  <c r="J10" i="7"/>
  <c r="D10" i="7"/>
  <c r="F10" i="7" s="1"/>
  <c r="V9" i="7"/>
  <c r="D9" i="7" s="1"/>
  <c r="F9" i="7" s="1"/>
  <c r="J9" i="7"/>
  <c r="V8" i="7"/>
  <c r="J8" i="7"/>
  <c r="D8" i="7"/>
  <c r="F8" i="7" s="1"/>
  <c r="V7" i="7"/>
  <c r="D7" i="7" s="1"/>
  <c r="F7" i="7" s="1"/>
  <c r="J7" i="7"/>
  <c r="V6" i="7"/>
  <c r="J6" i="7"/>
  <c r="D6" i="7"/>
  <c r="F6" i="7" s="1"/>
  <c r="V5" i="7"/>
  <c r="D5" i="7" s="1"/>
  <c r="F5" i="7" s="1"/>
  <c r="J5" i="7"/>
  <c r="V4" i="7"/>
  <c r="V35" i="7" s="1"/>
  <c r="J4" i="7"/>
  <c r="J35" i="7" s="1"/>
  <c r="D4" i="7"/>
  <c r="U35" i="6"/>
  <c r="T35" i="6"/>
  <c r="S35" i="6"/>
  <c r="R35" i="6"/>
  <c r="Q35" i="6"/>
  <c r="P35" i="6"/>
  <c r="O35" i="6"/>
  <c r="N35" i="6"/>
  <c r="M35" i="6"/>
  <c r="L35" i="6"/>
  <c r="I35" i="6"/>
  <c r="H35" i="6"/>
  <c r="G35" i="6"/>
  <c r="E35" i="6"/>
  <c r="C35" i="6"/>
  <c r="B35" i="6"/>
  <c r="V34" i="6"/>
  <c r="D34" i="6" s="1"/>
  <c r="F34" i="6" s="1"/>
  <c r="J34" i="6"/>
  <c r="V33" i="6"/>
  <c r="D33" i="6" s="1"/>
  <c r="F33" i="6" s="1"/>
  <c r="J33" i="6"/>
  <c r="V32" i="6"/>
  <c r="J32" i="6"/>
  <c r="D32" i="6"/>
  <c r="F32" i="6" s="1"/>
  <c r="V31" i="6"/>
  <c r="D31" i="6" s="1"/>
  <c r="F31" i="6" s="1"/>
  <c r="J31" i="6"/>
  <c r="V30" i="6"/>
  <c r="D30" i="6" s="1"/>
  <c r="F30" i="6" s="1"/>
  <c r="J30" i="6"/>
  <c r="V29" i="6"/>
  <c r="D29" i="6" s="1"/>
  <c r="F29" i="6" s="1"/>
  <c r="J29" i="6"/>
  <c r="V28" i="6"/>
  <c r="D28" i="6" s="1"/>
  <c r="F28" i="6" s="1"/>
  <c r="J28" i="6"/>
  <c r="V27" i="6"/>
  <c r="D27" i="6" s="1"/>
  <c r="F27" i="6" s="1"/>
  <c r="J27" i="6"/>
  <c r="V26" i="6"/>
  <c r="D26" i="6" s="1"/>
  <c r="F26" i="6" s="1"/>
  <c r="J26" i="6"/>
  <c r="V25" i="6"/>
  <c r="D25" i="6" s="1"/>
  <c r="F25" i="6" s="1"/>
  <c r="J25" i="6"/>
  <c r="V24" i="6"/>
  <c r="D24" i="6" s="1"/>
  <c r="F24" i="6" s="1"/>
  <c r="J24" i="6"/>
  <c r="V23" i="6"/>
  <c r="D23" i="6" s="1"/>
  <c r="F23" i="6" s="1"/>
  <c r="J23" i="6"/>
  <c r="V22" i="6"/>
  <c r="D22" i="6" s="1"/>
  <c r="F22" i="6" s="1"/>
  <c r="J22" i="6"/>
  <c r="V21" i="6"/>
  <c r="J21" i="6"/>
  <c r="D21" i="6"/>
  <c r="F21" i="6" s="1"/>
  <c r="V20" i="6"/>
  <c r="D20" i="6" s="1"/>
  <c r="F20" i="6" s="1"/>
  <c r="J20" i="6"/>
  <c r="V19" i="6"/>
  <c r="J19" i="6"/>
  <c r="D19" i="6"/>
  <c r="F19" i="6" s="1"/>
  <c r="V18" i="6"/>
  <c r="D18" i="6" s="1"/>
  <c r="F18" i="6" s="1"/>
  <c r="J18" i="6"/>
  <c r="V17" i="6"/>
  <c r="J17" i="6"/>
  <c r="D17" i="6"/>
  <c r="F17" i="6" s="1"/>
  <c r="V16" i="6"/>
  <c r="D16" i="6" s="1"/>
  <c r="F16" i="6" s="1"/>
  <c r="J16" i="6"/>
  <c r="V15" i="6"/>
  <c r="J15" i="6"/>
  <c r="D15" i="6"/>
  <c r="F15" i="6" s="1"/>
  <c r="V14" i="6"/>
  <c r="D14" i="6" s="1"/>
  <c r="F14" i="6" s="1"/>
  <c r="J14" i="6"/>
  <c r="V13" i="6"/>
  <c r="D13" i="6" s="1"/>
  <c r="F13" i="6" s="1"/>
  <c r="J13" i="6"/>
  <c r="V12" i="6"/>
  <c r="D12" i="6" s="1"/>
  <c r="F12" i="6" s="1"/>
  <c r="J12" i="6"/>
  <c r="V11" i="6"/>
  <c r="D11" i="6" s="1"/>
  <c r="F11" i="6" s="1"/>
  <c r="J11" i="6"/>
  <c r="V10" i="6"/>
  <c r="D10" i="6" s="1"/>
  <c r="F10" i="6" s="1"/>
  <c r="J10" i="6"/>
  <c r="V9" i="6"/>
  <c r="D9" i="6" s="1"/>
  <c r="F9" i="6" s="1"/>
  <c r="J9" i="6"/>
  <c r="V8" i="6"/>
  <c r="D8" i="6" s="1"/>
  <c r="F8" i="6" s="1"/>
  <c r="J8" i="6"/>
  <c r="V7" i="6"/>
  <c r="D7" i="6" s="1"/>
  <c r="F7" i="6" s="1"/>
  <c r="J7" i="6"/>
  <c r="V6" i="6"/>
  <c r="D6" i="6" s="1"/>
  <c r="F6" i="6" s="1"/>
  <c r="J6" i="6"/>
  <c r="V5" i="6"/>
  <c r="D5" i="6" s="1"/>
  <c r="F5" i="6" s="1"/>
  <c r="J5" i="6"/>
  <c r="V4" i="6"/>
  <c r="V35" i="6" s="1"/>
  <c r="J4" i="6"/>
  <c r="J35" i="6" s="1"/>
  <c r="U35" i="5"/>
  <c r="T35" i="5"/>
  <c r="S35" i="5"/>
  <c r="R35" i="5"/>
  <c r="Q35" i="5"/>
  <c r="P35" i="5"/>
  <c r="O35" i="5"/>
  <c r="N35" i="5"/>
  <c r="M35" i="5"/>
  <c r="L35" i="5"/>
  <c r="I35" i="5"/>
  <c r="H35" i="5"/>
  <c r="G35" i="5"/>
  <c r="E35" i="5"/>
  <c r="C35" i="5"/>
  <c r="B35" i="5"/>
  <c r="V34" i="5"/>
  <c r="J34" i="5"/>
  <c r="D34" i="5"/>
  <c r="F34" i="5" s="1"/>
  <c r="V33" i="5"/>
  <c r="J33" i="5"/>
  <c r="F33" i="5"/>
  <c r="D33" i="5"/>
  <c r="V32" i="5"/>
  <c r="J32" i="5"/>
  <c r="D32" i="5"/>
  <c r="F32" i="5" s="1"/>
  <c r="V31" i="5"/>
  <c r="J31" i="5"/>
  <c r="F31" i="5"/>
  <c r="D31" i="5"/>
  <c r="V30" i="5"/>
  <c r="J30" i="5"/>
  <c r="D30" i="5"/>
  <c r="F30" i="5" s="1"/>
  <c r="V29" i="5"/>
  <c r="J29" i="5"/>
  <c r="F29" i="5"/>
  <c r="D29" i="5"/>
  <c r="V28" i="5"/>
  <c r="J28" i="5"/>
  <c r="D28" i="5"/>
  <c r="F28" i="5" s="1"/>
  <c r="V27" i="5"/>
  <c r="J27" i="5"/>
  <c r="F27" i="5"/>
  <c r="D27" i="5"/>
  <c r="V26" i="5"/>
  <c r="J26" i="5"/>
  <c r="D26" i="5"/>
  <c r="F26" i="5" s="1"/>
  <c r="V25" i="5"/>
  <c r="J25" i="5"/>
  <c r="F25" i="5"/>
  <c r="D25" i="5"/>
  <c r="V24" i="5"/>
  <c r="J24" i="5"/>
  <c r="D24" i="5"/>
  <c r="F24" i="5" s="1"/>
  <c r="V23" i="5"/>
  <c r="D23" i="5" s="1"/>
  <c r="F23" i="5" s="1"/>
  <c r="J23" i="5"/>
  <c r="V22" i="5"/>
  <c r="J22" i="5"/>
  <c r="D22" i="5"/>
  <c r="F22" i="5" s="1"/>
  <c r="V21" i="5"/>
  <c r="D21" i="5" s="1"/>
  <c r="F21" i="5" s="1"/>
  <c r="J21" i="5"/>
  <c r="V20" i="5"/>
  <c r="J20" i="5"/>
  <c r="D20" i="5"/>
  <c r="F20" i="5" s="1"/>
  <c r="V19" i="5"/>
  <c r="D19" i="5" s="1"/>
  <c r="F19" i="5" s="1"/>
  <c r="J19" i="5"/>
  <c r="V18" i="5"/>
  <c r="J18" i="5"/>
  <c r="D18" i="5"/>
  <c r="F18" i="5" s="1"/>
  <c r="V17" i="5"/>
  <c r="D17" i="5" s="1"/>
  <c r="F17" i="5" s="1"/>
  <c r="J17" i="5"/>
  <c r="V16" i="5"/>
  <c r="J16" i="5"/>
  <c r="D16" i="5"/>
  <c r="F16" i="5" s="1"/>
  <c r="V15" i="5"/>
  <c r="D15" i="5" s="1"/>
  <c r="F15" i="5" s="1"/>
  <c r="J15" i="5"/>
  <c r="V14" i="5"/>
  <c r="J14" i="5"/>
  <c r="D14" i="5"/>
  <c r="F14" i="5" s="1"/>
  <c r="V13" i="5"/>
  <c r="D13" i="5" s="1"/>
  <c r="F13" i="5" s="1"/>
  <c r="J13" i="5"/>
  <c r="V12" i="5"/>
  <c r="J12" i="5"/>
  <c r="D12" i="5"/>
  <c r="F12" i="5" s="1"/>
  <c r="V11" i="5"/>
  <c r="D11" i="5" s="1"/>
  <c r="F11" i="5" s="1"/>
  <c r="J11" i="5"/>
  <c r="V10" i="5"/>
  <c r="J10" i="5"/>
  <c r="D10" i="5"/>
  <c r="F10" i="5" s="1"/>
  <c r="V9" i="5"/>
  <c r="D9" i="5" s="1"/>
  <c r="F9" i="5" s="1"/>
  <c r="J9" i="5"/>
  <c r="V8" i="5"/>
  <c r="J8" i="5"/>
  <c r="D8" i="5"/>
  <c r="F8" i="5" s="1"/>
  <c r="V7" i="5"/>
  <c r="D7" i="5" s="1"/>
  <c r="F7" i="5" s="1"/>
  <c r="J7" i="5"/>
  <c r="V6" i="5"/>
  <c r="J6" i="5"/>
  <c r="D6" i="5"/>
  <c r="F6" i="5" s="1"/>
  <c r="V5" i="5"/>
  <c r="D5" i="5" s="1"/>
  <c r="F5" i="5" s="1"/>
  <c r="J5" i="5"/>
  <c r="V4" i="5"/>
  <c r="V35" i="5" s="1"/>
  <c r="J4" i="5"/>
  <c r="J35" i="5" s="1"/>
  <c r="D4" i="5"/>
  <c r="U35" i="4"/>
  <c r="T35" i="4"/>
  <c r="S35" i="4"/>
  <c r="R35" i="4"/>
  <c r="Q35" i="4"/>
  <c r="P35" i="4"/>
  <c r="O35" i="4"/>
  <c r="N35" i="4"/>
  <c r="M35" i="4"/>
  <c r="L35" i="4"/>
  <c r="I35" i="4"/>
  <c r="H35" i="4"/>
  <c r="G35" i="4"/>
  <c r="E35" i="4"/>
  <c r="C35" i="4"/>
  <c r="B35" i="4"/>
  <c r="V34" i="4"/>
  <c r="J34" i="4"/>
  <c r="D34" i="4"/>
  <c r="F34" i="4" s="1"/>
  <c r="V33" i="4"/>
  <c r="D33" i="4" s="1"/>
  <c r="F33" i="4" s="1"/>
  <c r="J33" i="4"/>
  <c r="V32" i="4"/>
  <c r="J32" i="4"/>
  <c r="D32" i="4"/>
  <c r="F32" i="4" s="1"/>
  <c r="V31" i="4"/>
  <c r="J31" i="4"/>
  <c r="F31" i="4"/>
  <c r="D31" i="4"/>
  <c r="V30" i="4"/>
  <c r="J30" i="4"/>
  <c r="D30" i="4"/>
  <c r="F30" i="4" s="1"/>
  <c r="V29" i="4"/>
  <c r="J29" i="4"/>
  <c r="F29" i="4"/>
  <c r="D29" i="4"/>
  <c r="V28" i="4"/>
  <c r="J28" i="4"/>
  <c r="D28" i="4"/>
  <c r="F28" i="4" s="1"/>
  <c r="V27" i="4"/>
  <c r="J27" i="4"/>
  <c r="F27" i="4"/>
  <c r="D27" i="4"/>
  <c r="V26" i="4"/>
  <c r="J26" i="4"/>
  <c r="D26" i="4"/>
  <c r="F26" i="4" s="1"/>
  <c r="V25" i="4"/>
  <c r="J25" i="4"/>
  <c r="F25" i="4"/>
  <c r="D25" i="4"/>
  <c r="V24" i="4"/>
  <c r="J24" i="4"/>
  <c r="D24" i="4"/>
  <c r="F24" i="4" s="1"/>
  <c r="V23" i="4"/>
  <c r="J23" i="4"/>
  <c r="F23" i="4"/>
  <c r="D23" i="4"/>
  <c r="V22" i="4"/>
  <c r="J22" i="4"/>
  <c r="D22" i="4"/>
  <c r="F22" i="4" s="1"/>
  <c r="V21" i="4"/>
  <c r="D21" i="4" s="1"/>
  <c r="F21" i="4" s="1"/>
  <c r="J21" i="4"/>
  <c r="V20" i="4"/>
  <c r="J20" i="4"/>
  <c r="D20" i="4"/>
  <c r="F20" i="4" s="1"/>
  <c r="V19" i="4"/>
  <c r="D19" i="4" s="1"/>
  <c r="F19" i="4" s="1"/>
  <c r="J19" i="4"/>
  <c r="V18" i="4"/>
  <c r="J18" i="4"/>
  <c r="D18" i="4"/>
  <c r="F18" i="4" s="1"/>
  <c r="V17" i="4"/>
  <c r="D17" i="4" s="1"/>
  <c r="F17" i="4" s="1"/>
  <c r="J17" i="4"/>
  <c r="V16" i="4"/>
  <c r="J16" i="4"/>
  <c r="D16" i="4"/>
  <c r="F16" i="4" s="1"/>
  <c r="V15" i="4"/>
  <c r="D15" i="4" s="1"/>
  <c r="F15" i="4" s="1"/>
  <c r="J15" i="4"/>
  <c r="V14" i="4"/>
  <c r="J14" i="4"/>
  <c r="D14" i="4"/>
  <c r="F14" i="4" s="1"/>
  <c r="V13" i="4"/>
  <c r="D13" i="4" s="1"/>
  <c r="F13" i="4" s="1"/>
  <c r="J13" i="4"/>
  <c r="V12" i="4"/>
  <c r="J12" i="4"/>
  <c r="D12" i="4"/>
  <c r="F12" i="4" s="1"/>
  <c r="V11" i="4"/>
  <c r="D11" i="4" s="1"/>
  <c r="F11" i="4" s="1"/>
  <c r="J11" i="4"/>
  <c r="V10" i="4"/>
  <c r="J10" i="4"/>
  <c r="D10" i="4"/>
  <c r="F10" i="4" s="1"/>
  <c r="V9" i="4"/>
  <c r="D9" i="4" s="1"/>
  <c r="F9" i="4" s="1"/>
  <c r="J9" i="4"/>
  <c r="V8" i="4"/>
  <c r="J8" i="4"/>
  <c r="D8" i="4"/>
  <c r="F8" i="4" s="1"/>
  <c r="V7" i="4"/>
  <c r="D7" i="4" s="1"/>
  <c r="F7" i="4" s="1"/>
  <c r="J7" i="4"/>
  <c r="V6" i="4"/>
  <c r="J6" i="4"/>
  <c r="D6" i="4"/>
  <c r="F6" i="4" s="1"/>
  <c r="V5" i="4"/>
  <c r="D5" i="4" s="1"/>
  <c r="F5" i="4" s="1"/>
  <c r="J5" i="4"/>
  <c r="V4" i="4"/>
  <c r="V35" i="4" s="1"/>
  <c r="J4" i="4"/>
  <c r="J35" i="4" s="1"/>
  <c r="D4" i="4"/>
  <c r="U35" i="3"/>
  <c r="T35" i="3"/>
  <c r="S35" i="3"/>
  <c r="R35" i="3"/>
  <c r="Q35" i="3"/>
  <c r="P35" i="3"/>
  <c r="O35" i="3"/>
  <c r="N35" i="3"/>
  <c r="M35" i="3"/>
  <c r="L35" i="3"/>
  <c r="I35" i="3"/>
  <c r="H35" i="3"/>
  <c r="G35" i="3"/>
  <c r="E35" i="3"/>
  <c r="C35" i="3"/>
  <c r="B35" i="3"/>
  <c r="V34" i="3"/>
  <c r="J34" i="3"/>
  <c r="D34" i="3"/>
  <c r="F34" i="3" s="1"/>
  <c r="V33" i="3"/>
  <c r="J33" i="3"/>
  <c r="D33" i="3"/>
  <c r="F33" i="3" s="1"/>
  <c r="V32" i="3"/>
  <c r="J32" i="3"/>
  <c r="D32" i="3"/>
  <c r="F32" i="3" s="1"/>
  <c r="V31" i="3"/>
  <c r="J31" i="3"/>
  <c r="D31" i="3"/>
  <c r="F31" i="3" s="1"/>
  <c r="V30" i="3"/>
  <c r="J30" i="3"/>
  <c r="D30" i="3"/>
  <c r="F30" i="3" s="1"/>
  <c r="V29" i="3"/>
  <c r="J29" i="3"/>
  <c r="D29" i="3"/>
  <c r="F29" i="3" s="1"/>
  <c r="V28" i="3"/>
  <c r="J28" i="3"/>
  <c r="D28" i="3"/>
  <c r="F28" i="3" s="1"/>
  <c r="V27" i="3"/>
  <c r="J27" i="3"/>
  <c r="D27" i="3"/>
  <c r="F27" i="3" s="1"/>
  <c r="V26" i="3"/>
  <c r="J26" i="3"/>
  <c r="D26" i="3"/>
  <c r="F26" i="3" s="1"/>
  <c r="V25" i="3"/>
  <c r="J25" i="3"/>
  <c r="D25" i="3"/>
  <c r="F25" i="3" s="1"/>
  <c r="V24" i="3"/>
  <c r="J24" i="3"/>
  <c r="D24" i="3"/>
  <c r="F24" i="3" s="1"/>
  <c r="V23" i="3"/>
  <c r="J23" i="3"/>
  <c r="D23" i="3"/>
  <c r="F23" i="3" s="1"/>
  <c r="V22" i="3"/>
  <c r="J22" i="3"/>
  <c r="D22" i="3"/>
  <c r="F22" i="3" s="1"/>
  <c r="V21" i="3"/>
  <c r="J21" i="3"/>
  <c r="D21" i="3"/>
  <c r="F21" i="3" s="1"/>
  <c r="V20" i="3"/>
  <c r="J20" i="3"/>
  <c r="D20" i="3"/>
  <c r="F20" i="3" s="1"/>
  <c r="V19" i="3"/>
  <c r="J19" i="3"/>
  <c r="D19" i="3"/>
  <c r="F19" i="3" s="1"/>
  <c r="V18" i="3"/>
  <c r="J18" i="3"/>
  <c r="D18" i="3"/>
  <c r="F18" i="3" s="1"/>
  <c r="V17" i="3"/>
  <c r="D17" i="3" s="1"/>
  <c r="F17" i="3" s="1"/>
  <c r="J17" i="3"/>
  <c r="V16" i="3"/>
  <c r="J16" i="3"/>
  <c r="D16" i="3"/>
  <c r="F16" i="3" s="1"/>
  <c r="V15" i="3"/>
  <c r="D15" i="3" s="1"/>
  <c r="F15" i="3" s="1"/>
  <c r="J15" i="3"/>
  <c r="V14" i="3"/>
  <c r="J14" i="3"/>
  <c r="D14" i="3"/>
  <c r="F14" i="3" s="1"/>
  <c r="V13" i="3"/>
  <c r="D13" i="3" s="1"/>
  <c r="F13" i="3" s="1"/>
  <c r="J13" i="3"/>
  <c r="V12" i="3"/>
  <c r="J12" i="3"/>
  <c r="D12" i="3"/>
  <c r="F12" i="3" s="1"/>
  <c r="V11" i="3"/>
  <c r="D11" i="3" s="1"/>
  <c r="F11" i="3" s="1"/>
  <c r="J11" i="3"/>
  <c r="V10" i="3"/>
  <c r="J10" i="3"/>
  <c r="D10" i="3"/>
  <c r="F10" i="3" s="1"/>
  <c r="V9" i="3"/>
  <c r="D9" i="3" s="1"/>
  <c r="F9" i="3" s="1"/>
  <c r="J9" i="3"/>
  <c r="V8" i="3"/>
  <c r="J8" i="3"/>
  <c r="D8" i="3"/>
  <c r="F8" i="3" s="1"/>
  <c r="V7" i="3"/>
  <c r="D7" i="3" s="1"/>
  <c r="F7" i="3" s="1"/>
  <c r="J7" i="3"/>
  <c r="V6" i="3"/>
  <c r="J6" i="3"/>
  <c r="D6" i="3"/>
  <c r="F6" i="3" s="1"/>
  <c r="V5" i="3"/>
  <c r="D5" i="3" s="1"/>
  <c r="F5" i="3" s="1"/>
  <c r="J5" i="3"/>
  <c r="V4" i="3"/>
  <c r="V35" i="3" s="1"/>
  <c r="J4" i="3"/>
  <c r="J35" i="3" s="1"/>
  <c r="D4" i="3"/>
  <c r="U35" i="2"/>
  <c r="T35" i="2"/>
  <c r="S35" i="2"/>
  <c r="R35" i="2"/>
  <c r="Q35" i="2"/>
  <c r="P35" i="2"/>
  <c r="O35" i="2"/>
  <c r="N35" i="2"/>
  <c r="M35" i="2"/>
  <c r="L35" i="2"/>
  <c r="I35" i="2"/>
  <c r="H35" i="2"/>
  <c r="G35" i="2"/>
  <c r="E35" i="2"/>
  <c r="C35" i="2"/>
  <c r="B35" i="2"/>
  <c r="V34" i="2"/>
  <c r="J34" i="2"/>
  <c r="F34" i="2"/>
  <c r="D34" i="2"/>
  <c r="V33" i="2"/>
  <c r="J33" i="2"/>
  <c r="D33" i="2"/>
  <c r="F33" i="2" s="1"/>
  <c r="V32" i="2"/>
  <c r="J32" i="2"/>
  <c r="F32" i="2"/>
  <c r="D32" i="2"/>
  <c r="V31" i="2"/>
  <c r="J31" i="2"/>
  <c r="D31" i="2"/>
  <c r="F31" i="2" s="1"/>
  <c r="V30" i="2"/>
  <c r="J30" i="2"/>
  <c r="F30" i="2"/>
  <c r="D30" i="2"/>
  <c r="V29" i="2"/>
  <c r="J29" i="2"/>
  <c r="D29" i="2"/>
  <c r="F29" i="2" s="1"/>
  <c r="V28" i="2"/>
  <c r="J28" i="2"/>
  <c r="F28" i="2"/>
  <c r="D28" i="2"/>
  <c r="V27" i="2"/>
  <c r="J27" i="2"/>
  <c r="D27" i="2"/>
  <c r="F27" i="2" s="1"/>
  <c r="V26" i="2"/>
  <c r="J26" i="2"/>
  <c r="F26" i="2"/>
  <c r="D26" i="2"/>
  <c r="V25" i="2"/>
  <c r="J25" i="2"/>
  <c r="D25" i="2"/>
  <c r="F25" i="2" s="1"/>
  <c r="V24" i="2"/>
  <c r="J24" i="2"/>
  <c r="F24" i="2"/>
  <c r="D24" i="2"/>
  <c r="V23" i="2"/>
  <c r="J23" i="2"/>
  <c r="D23" i="2"/>
  <c r="F23" i="2" s="1"/>
  <c r="V22" i="2"/>
  <c r="J22" i="2"/>
  <c r="F22" i="2"/>
  <c r="D22" i="2"/>
  <c r="V21" i="2"/>
  <c r="J21" i="2"/>
  <c r="D21" i="2"/>
  <c r="F21" i="2" s="1"/>
  <c r="V20" i="2"/>
  <c r="J20" i="2"/>
  <c r="F20" i="2"/>
  <c r="D20" i="2"/>
  <c r="V19" i="2"/>
  <c r="J19" i="2"/>
  <c r="D19" i="2"/>
  <c r="F19" i="2" s="1"/>
  <c r="V18" i="2"/>
  <c r="J18" i="2"/>
  <c r="F18" i="2"/>
  <c r="D18" i="2"/>
  <c r="V17" i="2"/>
  <c r="J17" i="2"/>
  <c r="D17" i="2"/>
  <c r="F17" i="2" s="1"/>
  <c r="V16" i="2"/>
  <c r="J16" i="2"/>
  <c r="F16" i="2"/>
  <c r="D16" i="2"/>
  <c r="V15" i="2"/>
  <c r="J15" i="2"/>
  <c r="D15" i="2"/>
  <c r="F15" i="2" s="1"/>
  <c r="V14" i="2"/>
  <c r="J14" i="2"/>
  <c r="F14" i="2"/>
  <c r="D14" i="2"/>
  <c r="V13" i="2"/>
  <c r="J13" i="2"/>
  <c r="D13" i="2"/>
  <c r="F13" i="2" s="1"/>
  <c r="V12" i="2"/>
  <c r="J12" i="2"/>
  <c r="F12" i="2"/>
  <c r="D12" i="2"/>
  <c r="V11" i="2"/>
  <c r="J11" i="2"/>
  <c r="D11" i="2"/>
  <c r="F11" i="2" s="1"/>
  <c r="V10" i="2"/>
  <c r="J10" i="2"/>
  <c r="F10" i="2"/>
  <c r="D10" i="2"/>
  <c r="V9" i="2"/>
  <c r="J9" i="2"/>
  <c r="D9" i="2"/>
  <c r="F9" i="2" s="1"/>
  <c r="V8" i="2"/>
  <c r="J8" i="2"/>
  <c r="F8" i="2"/>
  <c r="D8" i="2"/>
  <c r="V7" i="2"/>
  <c r="J7" i="2"/>
  <c r="D7" i="2"/>
  <c r="F7" i="2" s="1"/>
  <c r="V6" i="2"/>
  <c r="J6" i="2"/>
  <c r="F6" i="2"/>
  <c r="D6" i="2"/>
  <c r="V5" i="2"/>
  <c r="D5" i="2" s="1"/>
  <c r="F5" i="2" s="1"/>
  <c r="J5" i="2"/>
  <c r="V4" i="2"/>
  <c r="V35" i="2" s="1"/>
  <c r="J4" i="2"/>
  <c r="J35" i="2" s="1"/>
  <c r="F4" i="2"/>
  <c r="D4" i="2"/>
  <c r="U35" i="1"/>
  <c r="T35" i="1"/>
  <c r="S35" i="1"/>
  <c r="R35" i="1"/>
  <c r="Q35" i="1"/>
  <c r="P35" i="1"/>
  <c r="O35" i="1"/>
  <c r="N35" i="1"/>
  <c r="M35" i="1"/>
  <c r="L35" i="1"/>
  <c r="I35" i="1"/>
  <c r="H35" i="1"/>
  <c r="G35" i="1"/>
  <c r="E35" i="1"/>
  <c r="C35" i="1"/>
  <c r="B35" i="1"/>
  <c r="V34" i="1"/>
  <c r="D34" i="1" s="1"/>
  <c r="F34" i="1" s="1"/>
  <c r="J34" i="1"/>
  <c r="V33" i="1"/>
  <c r="J33" i="1"/>
  <c r="F33" i="1"/>
  <c r="D33" i="1"/>
  <c r="V32" i="1"/>
  <c r="D32" i="1" s="1"/>
  <c r="F32" i="1" s="1"/>
  <c r="J32" i="1"/>
  <c r="V31" i="1"/>
  <c r="J31" i="1"/>
  <c r="F31" i="1"/>
  <c r="D31" i="1"/>
  <c r="V30" i="1"/>
  <c r="D30" i="1" s="1"/>
  <c r="F30" i="1" s="1"/>
  <c r="J30" i="1"/>
  <c r="V29" i="1"/>
  <c r="D29" i="1" s="1"/>
  <c r="F29" i="1" s="1"/>
  <c r="J29" i="1"/>
  <c r="V28" i="1"/>
  <c r="D28" i="1" s="1"/>
  <c r="F28" i="1" s="1"/>
  <c r="J28" i="1"/>
  <c r="V27" i="1"/>
  <c r="D27" i="1" s="1"/>
  <c r="F27" i="1" s="1"/>
  <c r="J27" i="1"/>
  <c r="V26" i="1"/>
  <c r="J26" i="1"/>
  <c r="F26" i="1"/>
  <c r="D26" i="1"/>
  <c r="V25" i="1"/>
  <c r="D25" i="1" s="1"/>
  <c r="F25" i="1" s="1"/>
  <c r="J25" i="1"/>
  <c r="V24" i="1"/>
  <c r="J24" i="1"/>
  <c r="F24" i="1"/>
  <c r="D24" i="1"/>
  <c r="V23" i="1"/>
  <c r="D23" i="1" s="1"/>
  <c r="F23" i="1" s="1"/>
  <c r="J23" i="1"/>
  <c r="V22" i="1"/>
  <c r="J22" i="1"/>
  <c r="F22" i="1"/>
  <c r="D22" i="1"/>
  <c r="V21" i="1"/>
  <c r="D21" i="1" s="1"/>
  <c r="F21" i="1" s="1"/>
  <c r="J21" i="1"/>
  <c r="V20" i="1"/>
  <c r="J20" i="1"/>
  <c r="F20" i="1"/>
  <c r="D20" i="1"/>
  <c r="V19" i="1"/>
  <c r="D19" i="1" s="1"/>
  <c r="F19" i="1" s="1"/>
  <c r="J19" i="1"/>
  <c r="V18" i="1"/>
  <c r="D18" i="1" s="1"/>
  <c r="F18" i="1" s="1"/>
  <c r="J18" i="1"/>
  <c r="V17" i="1"/>
  <c r="D17" i="1" s="1"/>
  <c r="F17" i="1" s="1"/>
  <c r="J17" i="1"/>
  <c r="V16" i="1"/>
  <c r="D16" i="1" s="1"/>
  <c r="F16" i="1" s="1"/>
  <c r="J16" i="1"/>
  <c r="V15" i="1"/>
  <c r="D15" i="1" s="1"/>
  <c r="F15" i="1" s="1"/>
  <c r="J15" i="1"/>
  <c r="V14" i="1"/>
  <c r="D14" i="1" s="1"/>
  <c r="F14" i="1" s="1"/>
  <c r="J14" i="1"/>
  <c r="V13" i="1"/>
  <c r="D13" i="1" s="1"/>
  <c r="F13" i="1" s="1"/>
  <c r="J13" i="1"/>
  <c r="V12" i="1"/>
  <c r="D12" i="1" s="1"/>
  <c r="F12" i="1" s="1"/>
  <c r="J12" i="1"/>
  <c r="V11" i="1"/>
  <c r="D11" i="1" s="1"/>
  <c r="F11" i="1" s="1"/>
  <c r="J11" i="1"/>
  <c r="V10" i="1"/>
  <c r="D10" i="1" s="1"/>
  <c r="F10" i="1" s="1"/>
  <c r="J10" i="1"/>
  <c r="V9" i="1"/>
  <c r="D9" i="1" s="1"/>
  <c r="F9" i="1" s="1"/>
  <c r="J9" i="1"/>
  <c r="V8" i="1"/>
  <c r="D8" i="1" s="1"/>
  <c r="F8" i="1" s="1"/>
  <c r="J8" i="1"/>
  <c r="V7" i="1"/>
  <c r="D7" i="1" s="1"/>
  <c r="F7" i="1" s="1"/>
  <c r="J7" i="1"/>
  <c r="V6" i="1"/>
  <c r="D6" i="1" s="1"/>
  <c r="F6" i="1" s="1"/>
  <c r="J6" i="1"/>
  <c r="V5" i="1"/>
  <c r="D5" i="1" s="1"/>
  <c r="F5" i="1" s="1"/>
  <c r="J5" i="1"/>
  <c r="V4" i="1"/>
  <c r="V35" i="1" s="1"/>
  <c r="J4" i="1"/>
  <c r="J35" i="1" s="1"/>
  <c r="D4" i="10" l="1"/>
  <c r="D35" i="9"/>
  <c r="F35" i="9" s="1"/>
  <c r="D35" i="8"/>
  <c r="F35" i="8" s="1"/>
  <c r="F4" i="8"/>
  <c r="D35" i="7"/>
  <c r="F35" i="7" s="1"/>
  <c r="F4" i="7"/>
  <c r="D4" i="6"/>
  <c r="D35" i="5"/>
  <c r="F35" i="5" s="1"/>
  <c r="F4" i="5"/>
  <c r="D35" i="4"/>
  <c r="F35" i="4" s="1"/>
  <c r="F4" i="4"/>
  <c r="D35" i="3"/>
  <c r="F35" i="3" s="1"/>
  <c r="F4" i="3"/>
  <c r="D35" i="2"/>
  <c r="F35" i="2" s="1"/>
  <c r="D4" i="1"/>
  <c r="D35" i="10" l="1"/>
  <c r="F35" i="10" s="1"/>
  <c r="F4" i="10"/>
  <c r="D35" i="6"/>
  <c r="F35" i="6" s="1"/>
  <c r="F4" i="6"/>
  <c r="D35" i="1"/>
  <c r="F35" i="1" s="1"/>
  <c r="F4" i="1"/>
  <c r="J47" i="9" l="1"/>
  <c r="B46" i="5"/>
  <c r="I42" i="5" s="1"/>
  <c r="C43" i="10"/>
  <c r="C44" i="10" s="1"/>
  <c r="I47" i="10"/>
  <c r="I51" i="10"/>
  <c r="Q58" i="10"/>
  <c r="C47" i="9"/>
  <c r="C48" i="9" s="1"/>
  <c r="F47" i="9"/>
  <c r="J51" i="9"/>
  <c r="M62" i="9"/>
  <c r="B46" i="8"/>
  <c r="H41" i="8" s="1"/>
  <c r="C42" i="8"/>
  <c r="C43" i="8"/>
  <c r="H45" i="8"/>
  <c r="F46" i="7"/>
  <c r="I56" i="7" s="1"/>
  <c r="C47" i="7"/>
  <c r="I52" i="7"/>
  <c r="I41" i="6"/>
  <c r="I45" i="6"/>
  <c r="K46" i="6"/>
  <c r="L41" i="5"/>
  <c r="B41" i="5" s="1"/>
  <c r="C43" i="5"/>
  <c r="I43" i="5"/>
  <c r="I44" i="5"/>
  <c r="I46" i="5"/>
  <c r="G46" i="4"/>
  <c r="K45" i="4" s="1"/>
  <c r="K41" i="4"/>
  <c r="C45" i="4"/>
  <c r="C46" i="4"/>
  <c r="C47" i="4"/>
  <c r="D47" i="4"/>
  <c r="R47" i="4"/>
  <c r="M60" i="4"/>
  <c r="N54" i="3"/>
  <c r="C45" i="3"/>
  <c r="C46" i="3" s="1"/>
  <c r="E45" i="3"/>
  <c r="E46" i="3" s="1"/>
  <c r="K50" i="3"/>
  <c r="N58" i="3"/>
  <c r="Q60" i="3"/>
  <c r="C45" i="2"/>
  <c r="C46" i="2" s="1"/>
  <c r="F45" i="2"/>
  <c r="I48" i="2"/>
  <c r="I52" i="2"/>
  <c r="M60" i="2"/>
  <c r="L44" i="1"/>
  <c r="I48" i="1" s="1"/>
  <c r="C44" i="1"/>
  <c r="I44" i="1"/>
  <c r="C45" i="1"/>
  <c r="M59" i="1"/>
  <c r="B42" i="5" l="1"/>
  <c r="B43" i="5" s="1"/>
  <c r="B47" i="5" l="1"/>
  <c r="I45" i="5" s="1"/>
  <c r="H45" i="9" l="1"/>
  <c r="B48" i="9"/>
  <c r="F40" i="8"/>
  <c r="B43" i="8"/>
  <c r="B47" i="7"/>
  <c r="G50" i="7"/>
  <c r="B43" i="6"/>
  <c r="G40" i="6"/>
  <c r="G41" i="5"/>
  <c r="B45" i="5"/>
  <c r="I39" i="4"/>
  <c r="B46" i="4"/>
  <c r="L52" i="3"/>
  <c r="B46" i="3"/>
  <c r="B46" i="2"/>
  <c r="G46" i="2"/>
  <c r="B45" i="1"/>
  <c r="G42" i="1"/>
  <c r="G45" i="10" l="1"/>
  <c r="B44" i="10"/>
  <c r="F42" i="10"/>
  <c r="I50" i="10" s="1"/>
  <c r="B46" i="9"/>
  <c r="B47" i="9" s="1"/>
  <c r="J49" i="9" s="1"/>
  <c r="F46" i="9"/>
  <c r="J50" i="9" s="1"/>
  <c r="B41" i="8"/>
  <c r="B42" i="8" s="1"/>
  <c r="H43" i="8" s="1"/>
  <c r="B47" i="8"/>
  <c r="H44" i="8" s="1"/>
  <c r="B45" i="7"/>
  <c r="B46" i="7" s="1"/>
  <c r="I54" i="7" s="1"/>
  <c r="F45" i="7"/>
  <c r="I55" i="7" s="1"/>
  <c r="B41" i="6"/>
  <c r="B42" i="6" s="1"/>
  <c r="I43" i="6" s="1"/>
  <c r="B46" i="6"/>
  <c r="I44" i="6" s="1"/>
  <c r="I41" i="5"/>
  <c r="I47" i="5" s="1"/>
  <c r="G42" i="5"/>
  <c r="G47" i="5" s="1"/>
  <c r="B44" i="4"/>
  <c r="G45" i="4"/>
  <c r="K44" i="4" s="1"/>
  <c r="B44" i="3"/>
  <c r="K49" i="3"/>
  <c r="N57" i="3" s="1"/>
  <c r="B44" i="2"/>
  <c r="F44" i="2"/>
  <c r="I51" i="2" s="1"/>
  <c r="B43" i="1"/>
  <c r="L43" i="1"/>
  <c r="I47" i="1" s="1"/>
  <c r="B42" i="10" l="1"/>
  <c r="J48" i="9"/>
  <c r="F45" i="9"/>
  <c r="H47" i="9" s="1"/>
  <c r="H42" i="8"/>
  <c r="B45" i="8"/>
  <c r="H40" i="8" s="1"/>
  <c r="I53" i="7"/>
  <c r="F44" i="7"/>
  <c r="G52" i="7" s="1"/>
  <c r="I42" i="6"/>
  <c r="B45" i="6"/>
  <c r="K42" i="4"/>
  <c r="G44" i="4"/>
  <c r="I41" i="4" s="1"/>
  <c r="B45" i="4"/>
  <c r="K43" i="4" s="1"/>
  <c r="N55" i="3"/>
  <c r="K48" i="3"/>
  <c r="L54" i="3" s="1"/>
  <c r="B45" i="3"/>
  <c r="N56" i="3" s="1"/>
  <c r="I49" i="2"/>
  <c r="F43" i="2"/>
  <c r="G48" i="2" s="1"/>
  <c r="B45" i="2"/>
  <c r="I50" i="2" s="1"/>
  <c r="I45" i="1"/>
  <c r="L42" i="1"/>
  <c r="G44" i="1" s="1"/>
  <c r="B44" i="1"/>
  <c r="I46" i="1" s="1"/>
  <c r="I48" i="10" l="1"/>
  <c r="F41" i="10"/>
  <c r="G47" i="10" s="1"/>
  <c r="B43" i="10"/>
  <c r="I49" i="10" s="1"/>
  <c r="J45" i="9"/>
  <c r="J54" i="9" s="1"/>
  <c r="H54" i="9"/>
  <c r="H46" i="8"/>
  <c r="F41" i="8"/>
  <c r="F46" i="8" s="1"/>
  <c r="I50" i="7"/>
  <c r="I57" i="7" s="1"/>
  <c r="G57" i="7"/>
  <c r="I40" i="6"/>
  <c r="I46" i="6" s="1"/>
  <c r="G41" i="6"/>
  <c r="G46" i="6" s="1"/>
  <c r="K39" i="4"/>
  <c r="K48" i="4" s="1"/>
  <c r="I48" i="4"/>
  <c r="N52" i="3"/>
  <c r="N61" i="3" s="1"/>
  <c r="L61" i="3"/>
  <c r="I46" i="2"/>
  <c r="I55" i="2" s="1"/>
  <c r="G55" i="2"/>
  <c r="I42" i="1"/>
  <c r="I51" i="1" s="1"/>
  <c r="G51" i="1"/>
  <c r="I45" i="10" l="1"/>
  <c r="I54" i="10" s="1"/>
  <c r="G54" i="10"/>
</calcChain>
</file>

<file path=xl/sharedStrings.xml><?xml version="1.0" encoding="utf-8"?>
<sst xmlns="http://schemas.openxmlformats.org/spreadsheetml/2006/main" count="603" uniqueCount="426">
  <si>
    <t>* 상품대지급일 (익월 25일까지) - 카드매출금에서 수수료 제외 후 입금</t>
    <phoneticPr fontId="6" type="noConversion"/>
  </si>
  <si>
    <t>미수금</t>
    <phoneticPr fontId="6" type="noConversion"/>
  </si>
  <si>
    <t xml:space="preserve"> * 기간 24년 11월 14일까지</t>
    <phoneticPr fontId="6" type="noConversion"/>
  </si>
  <si>
    <t>미지급금</t>
    <phoneticPr fontId="6" type="noConversion"/>
  </si>
  <si>
    <t xml:space="preserve"> * 당사 카드 단말기 사용 (국민 004-04-0415-258 계좌)</t>
    <phoneticPr fontId="6" type="noConversion"/>
  </si>
  <si>
    <t>예수부가세</t>
    <phoneticPr fontId="6" type="noConversion"/>
  </si>
  <si>
    <t>임대을매출_수수료</t>
    <phoneticPr fontId="6" type="noConversion"/>
  </si>
  <si>
    <t>합계</t>
    <phoneticPr fontId="6" type="noConversion"/>
  </si>
  <si>
    <t>임대을매출_할인</t>
    <phoneticPr fontId="6" type="noConversion"/>
  </si>
  <si>
    <t>임대을매출원가</t>
    <phoneticPr fontId="6" type="noConversion"/>
  </si>
  <si>
    <t>VAT</t>
    <phoneticPr fontId="6" type="noConversion"/>
  </si>
  <si>
    <t>?</t>
    <phoneticPr fontId="6" type="noConversion"/>
  </si>
  <si>
    <t>미지급금</t>
    <phoneticPr fontId="6" type="noConversion"/>
  </si>
  <si>
    <t>임대료</t>
    <phoneticPr fontId="6" type="noConversion"/>
  </si>
  <si>
    <t>매출원가</t>
    <phoneticPr fontId="6" type="noConversion"/>
  </si>
  <si>
    <t>임대을매출</t>
    <phoneticPr fontId="6" type="noConversion"/>
  </si>
  <si>
    <t>최소</t>
    <phoneticPr fontId="6" type="noConversion"/>
  </si>
  <si>
    <t>수수료율</t>
    <phoneticPr fontId="6" type="noConversion"/>
  </si>
  <si>
    <t>25.11.25~27.11.24</t>
    <phoneticPr fontId="6" type="noConversion"/>
  </si>
  <si>
    <t>25.02.01~25.11.24</t>
    <phoneticPr fontId="6" type="noConversion"/>
  </si>
  <si>
    <t>적용기간</t>
    <phoneticPr fontId="6" type="noConversion"/>
  </si>
  <si>
    <t>해외카드 결제분 있을 시, BC카드 가맹점 홈페이지 확인</t>
    <phoneticPr fontId="6" type="noConversion"/>
  </si>
  <si>
    <t>합계</t>
    <phoneticPr fontId="6" type="noConversion"/>
  </si>
  <si>
    <t>할인액</t>
    <phoneticPr fontId="6" type="noConversion"/>
  </si>
  <si>
    <t>롯데</t>
    <phoneticPr fontId="6" type="noConversion"/>
  </si>
  <si>
    <t>삼성</t>
    <phoneticPr fontId="6" type="noConversion"/>
  </si>
  <si>
    <t>신한</t>
    <phoneticPr fontId="6" type="noConversion"/>
  </si>
  <si>
    <t>비씨</t>
    <phoneticPr fontId="6" type="noConversion"/>
  </si>
  <si>
    <t>NH농협</t>
    <phoneticPr fontId="6" type="noConversion"/>
  </si>
  <si>
    <t>KB국민</t>
    <phoneticPr fontId="6" type="noConversion"/>
  </si>
  <si>
    <t>위쳇페이</t>
    <phoneticPr fontId="6" type="noConversion"/>
  </si>
  <si>
    <t>하나</t>
    <phoneticPr fontId="6" type="noConversion"/>
  </si>
  <si>
    <t>현금매출액</t>
    <phoneticPr fontId="6" type="noConversion"/>
  </si>
  <si>
    <t>총매출액</t>
    <phoneticPr fontId="6" type="noConversion"/>
  </si>
  <si>
    <t>카드매출액</t>
    <phoneticPr fontId="6" type="noConversion"/>
  </si>
  <si>
    <t>일   자</t>
    <phoneticPr fontId="6" type="noConversion"/>
  </si>
  <si>
    <t>054231</t>
    <phoneticPr fontId="6" type="noConversion"/>
  </si>
  <si>
    <t>045602</t>
    <phoneticPr fontId="6" type="noConversion"/>
  </si>
  <si>
    <t>072014</t>
    <phoneticPr fontId="6" type="noConversion"/>
  </si>
  <si>
    <t>015419</t>
    <phoneticPr fontId="6" type="noConversion"/>
  </si>
  <si>
    <t>037726</t>
    <phoneticPr fontId="6" type="noConversion"/>
  </si>
  <si>
    <t>007072</t>
    <phoneticPr fontId="6" type="noConversion"/>
  </si>
  <si>
    <t>033138</t>
    <phoneticPr fontId="6" type="noConversion"/>
  </si>
  <si>
    <t>차액분 11/7 입금예정</t>
    <phoneticPr fontId="6" type="noConversion"/>
  </si>
  <si>
    <t>임대보증금</t>
    <phoneticPr fontId="6" type="noConversion"/>
  </si>
  <si>
    <t>미수금</t>
    <phoneticPr fontId="6" type="noConversion"/>
  </si>
  <si>
    <t>미지급금</t>
    <phoneticPr fontId="6" type="noConversion"/>
  </si>
  <si>
    <t>* 상품대지급일 (익월 25일까지) - 카드매출금에서 수수료 제외 후 입금</t>
    <phoneticPr fontId="6" type="noConversion"/>
  </si>
  <si>
    <t>예수부가세</t>
    <phoneticPr fontId="6" type="noConversion"/>
  </si>
  <si>
    <t>임대을매출_수수료</t>
    <phoneticPr fontId="6" type="noConversion"/>
  </si>
  <si>
    <t xml:space="preserve"> * 기간 24년 11월 14일까지</t>
    <phoneticPr fontId="6" type="noConversion"/>
  </si>
  <si>
    <t>임대을매출_할인</t>
    <phoneticPr fontId="6" type="noConversion"/>
  </si>
  <si>
    <t>임대을매출원가</t>
    <phoneticPr fontId="6" type="noConversion"/>
  </si>
  <si>
    <t xml:space="preserve"> * 당사 카드 단말기 사용 (국민 004-04-0415-258 계좌)</t>
    <phoneticPr fontId="6" type="noConversion"/>
  </si>
  <si>
    <t>임대을매출</t>
    <phoneticPr fontId="6" type="noConversion"/>
  </si>
  <si>
    <t>합계</t>
    <phoneticPr fontId="6" type="noConversion"/>
  </si>
  <si>
    <t>VAT</t>
    <phoneticPr fontId="6" type="noConversion"/>
  </si>
  <si>
    <t>임대료</t>
    <phoneticPr fontId="6" type="noConversion"/>
  </si>
  <si>
    <t>매출원가</t>
    <phoneticPr fontId="6" type="noConversion"/>
  </si>
  <si>
    <t>최저</t>
    <phoneticPr fontId="6" type="noConversion"/>
  </si>
  <si>
    <t>수수료율</t>
    <phoneticPr fontId="6" type="noConversion"/>
  </si>
  <si>
    <t>계약서 보고 다시 구간 확인하기</t>
    <phoneticPr fontId="6" type="noConversion"/>
  </si>
  <si>
    <t>25.11.1~</t>
    <phoneticPr fontId="6" type="noConversion"/>
  </si>
  <si>
    <t>금액구간 확인 후</t>
    <phoneticPr fontId="6" type="noConversion"/>
  </si>
  <si>
    <t>130,000,000이상</t>
  </si>
  <si>
    <t>130,000,000이상</t>
    <phoneticPr fontId="6" type="noConversion"/>
  </si>
  <si>
    <t>최소보장</t>
    <phoneticPr fontId="6" type="noConversion"/>
  </si>
  <si>
    <t>130,000,000미만</t>
  </si>
  <si>
    <t>12,800,000(VAT별도)</t>
    <phoneticPr fontId="6" type="noConversion"/>
  </si>
  <si>
    <t>130,000,000미만</t>
    <phoneticPr fontId="6" type="noConversion"/>
  </si>
  <si>
    <t>총매출</t>
    <phoneticPr fontId="6" type="noConversion"/>
  </si>
  <si>
    <t>27.11.01~28.10.31</t>
    <phoneticPr fontId="6" type="noConversion"/>
  </si>
  <si>
    <t>25.11.01~27.10.31</t>
    <phoneticPr fontId="6" type="noConversion"/>
  </si>
  <si>
    <t>해외카드 결제분 있을 시, BC카드 가맹점 홈페이지 확인</t>
    <phoneticPr fontId="6" type="noConversion"/>
  </si>
  <si>
    <t>미수금</t>
    <phoneticPr fontId="6" type="noConversion"/>
  </si>
  <si>
    <t>미지급금</t>
    <phoneticPr fontId="6" type="noConversion"/>
  </si>
  <si>
    <t>예수부가세</t>
    <phoneticPr fontId="6" type="noConversion"/>
  </si>
  <si>
    <t>임대을매출_수수료</t>
    <phoneticPr fontId="6" type="noConversion"/>
  </si>
  <si>
    <t>임대을매출_할인</t>
    <phoneticPr fontId="6" type="noConversion"/>
  </si>
  <si>
    <t>임대을매출원가</t>
    <phoneticPr fontId="6" type="noConversion"/>
  </si>
  <si>
    <t>임대보증금</t>
    <phoneticPr fontId="6" type="noConversion"/>
  </si>
  <si>
    <t>임대을매출</t>
    <phoneticPr fontId="6" type="noConversion"/>
  </si>
  <si>
    <t>* 상품대지급일 (익월 25일까지) - 카드매출금에서 수수료 제외 후 입금</t>
    <phoneticPr fontId="6" type="noConversion"/>
  </si>
  <si>
    <t xml:space="preserve"> * 기간 24년 11월 14일까지</t>
    <phoneticPr fontId="6" type="noConversion"/>
  </si>
  <si>
    <t>매출원가</t>
    <phoneticPr fontId="6" type="noConversion"/>
  </si>
  <si>
    <t xml:space="preserve"> * 당사 카드 단말기 사용 (국민 004-04-0415-258 계좌)</t>
    <phoneticPr fontId="6" type="noConversion"/>
  </si>
  <si>
    <t>합계</t>
    <phoneticPr fontId="6" type="noConversion"/>
  </si>
  <si>
    <t>VAT</t>
    <phoneticPr fontId="6" type="noConversion"/>
  </si>
  <si>
    <t>임대료</t>
    <phoneticPr fontId="6" type="noConversion"/>
  </si>
  <si>
    <t>최저</t>
    <phoneticPr fontId="6" type="noConversion"/>
  </si>
  <si>
    <t>수수료율</t>
    <phoneticPr fontId="6" type="noConversion"/>
  </si>
  <si>
    <t>26.11.25~27.11.24</t>
    <phoneticPr fontId="6" type="noConversion"/>
  </si>
  <si>
    <t>25.11.25~26.11.24</t>
    <phoneticPr fontId="6" type="noConversion"/>
  </si>
  <si>
    <t>25.02.01~25.11.24</t>
    <phoneticPr fontId="6" type="noConversion"/>
  </si>
  <si>
    <t>적용기간</t>
    <phoneticPr fontId="6" type="noConversion"/>
  </si>
  <si>
    <t>해외카드 결제분 있을 시, BC카드 가맹점 홈페이지 확인</t>
    <phoneticPr fontId="6" type="noConversion"/>
  </si>
  <si>
    <t>임대보증금</t>
    <phoneticPr fontId="6" type="noConversion"/>
  </si>
  <si>
    <t>* 상품대지급일 (익월 25일까지) - 카드매출금에서 수수료 제외 후 입금</t>
    <phoneticPr fontId="6" type="noConversion"/>
  </si>
  <si>
    <t xml:space="preserve"> * 기간 24년 11월 14일까지</t>
    <phoneticPr fontId="6" type="noConversion"/>
  </si>
  <si>
    <t xml:space="preserve"> * 당사 카드 단말기 사용 (국민 004-04-0415-258 계좌)</t>
    <phoneticPr fontId="6" type="noConversion"/>
  </si>
  <si>
    <t>미수금</t>
    <phoneticPr fontId="6" type="noConversion"/>
  </si>
  <si>
    <t>합계</t>
    <phoneticPr fontId="6" type="noConversion"/>
  </si>
  <si>
    <t>미지급금</t>
    <phoneticPr fontId="6" type="noConversion"/>
  </si>
  <si>
    <t>VAT</t>
    <phoneticPr fontId="6" type="noConversion"/>
  </si>
  <si>
    <t>매출원가</t>
    <phoneticPr fontId="6" type="noConversion"/>
  </si>
  <si>
    <t>임대료</t>
    <phoneticPr fontId="6" type="noConversion"/>
  </si>
  <si>
    <t>예수부가세</t>
    <phoneticPr fontId="6" type="noConversion"/>
  </si>
  <si>
    <t>최저</t>
    <phoneticPr fontId="6" type="noConversion"/>
  </si>
  <si>
    <t>수수료율</t>
    <phoneticPr fontId="6" type="noConversion"/>
  </si>
  <si>
    <t>임대을매출_수수료</t>
    <phoneticPr fontId="6" type="noConversion"/>
  </si>
  <si>
    <t>~27.12.08</t>
    <phoneticPr fontId="6" type="noConversion"/>
  </si>
  <si>
    <t>임대을매출_할인</t>
    <phoneticPr fontId="6" type="noConversion"/>
  </si>
  <si>
    <t>임대을매출원가</t>
    <phoneticPr fontId="6" type="noConversion"/>
  </si>
  <si>
    <t>26.12.09~27.12.08</t>
    <phoneticPr fontId="6" type="noConversion"/>
  </si>
  <si>
    <t>25.12.09~26.12.08</t>
    <phoneticPr fontId="6" type="noConversion"/>
  </si>
  <si>
    <t>임대을매출원가</t>
    <phoneticPr fontId="6" type="noConversion"/>
  </si>
  <si>
    <t>임대을매출</t>
    <phoneticPr fontId="6" type="noConversion"/>
  </si>
  <si>
    <t>25.02.01~25.12.08</t>
    <phoneticPr fontId="6" type="noConversion"/>
  </si>
  <si>
    <t>적용기간</t>
    <phoneticPr fontId="6" type="noConversion"/>
  </si>
  <si>
    <t>해외카드 결제분 있을 시, BC카드 가맹점 홈페이지 확인</t>
    <phoneticPr fontId="6" type="noConversion"/>
  </si>
  <si>
    <t>* 상품대지급일 (익월 25일까지) - 카드매출금에서 수수료 제외 후 입금</t>
    <phoneticPr fontId="6" type="noConversion"/>
  </si>
  <si>
    <t>* 당사 카드 단말기 사용 (국민 004-01-0415258 계좌)</t>
    <phoneticPr fontId="6" type="noConversion"/>
  </si>
  <si>
    <t>미지급금</t>
    <phoneticPr fontId="6" type="noConversion"/>
  </si>
  <si>
    <t>미수금</t>
    <phoneticPr fontId="6" type="noConversion"/>
  </si>
  <si>
    <t>할인</t>
    <phoneticPr fontId="6" type="noConversion"/>
  </si>
  <si>
    <t>총매출액</t>
    <phoneticPr fontId="6" type="noConversion"/>
  </si>
  <si>
    <t>총매출액</t>
  </si>
  <si>
    <t>미지급금</t>
    <phoneticPr fontId="6" type="noConversion"/>
  </si>
  <si>
    <t>매출원가</t>
    <phoneticPr fontId="6" type="noConversion"/>
  </si>
  <si>
    <t>면세매출</t>
    <phoneticPr fontId="6" type="noConversion"/>
  </si>
  <si>
    <t>면세</t>
  </si>
  <si>
    <t>예수부가세</t>
    <phoneticPr fontId="6" type="noConversion"/>
  </si>
  <si>
    <t>과세매출</t>
    <phoneticPr fontId="6" type="noConversion"/>
  </si>
  <si>
    <t>과세합계</t>
  </si>
  <si>
    <t>임대을매출_수수료</t>
    <phoneticPr fontId="6" type="noConversion"/>
  </si>
  <si>
    <t>순매출액 옆 부가세</t>
    <phoneticPr fontId="6" type="noConversion"/>
  </si>
  <si>
    <t>부가세</t>
  </si>
  <si>
    <t>임대을매출원가</t>
    <phoneticPr fontId="6" type="noConversion"/>
  </si>
  <si>
    <t>식 걸려있는대로</t>
    <phoneticPr fontId="6" type="noConversion"/>
  </si>
  <si>
    <t>과세</t>
  </si>
  <si>
    <t>임대을매출</t>
    <phoneticPr fontId="6" type="noConversion"/>
  </si>
  <si>
    <t>임대료</t>
    <phoneticPr fontId="6" type="noConversion"/>
  </si>
  <si>
    <t>최저</t>
    <phoneticPr fontId="6" type="noConversion"/>
  </si>
  <si>
    <t>수수료율</t>
    <phoneticPr fontId="6" type="noConversion"/>
  </si>
  <si>
    <t>10일 이내 정산내역서 송부(010-3447-9098)</t>
    <phoneticPr fontId="6" type="noConversion"/>
  </si>
  <si>
    <t xml:space="preserve">bkjtheclassic@gmail.com' </t>
    <phoneticPr fontId="6" type="noConversion"/>
  </si>
  <si>
    <t>해외카드 결제분 있을 시, BC카드 가맹점 홈페이지 확인</t>
    <phoneticPr fontId="6" type="noConversion"/>
  </si>
  <si>
    <t>현대</t>
    <phoneticPr fontId="6" type="noConversion"/>
  </si>
  <si>
    <t xml:space="preserve"> </t>
    <phoneticPr fontId="6" type="noConversion"/>
  </si>
  <si>
    <t>* 상품대지급일 (익월 25일까지) - 카드매출금에서 수수료 제외 후 입금</t>
    <phoneticPr fontId="6" type="noConversion"/>
  </si>
  <si>
    <t xml:space="preserve"> * 기간</t>
  </si>
  <si>
    <t xml:space="preserve"> * 당사 카드 단말기 사용 (국민 004-04-0415-258 계좌)</t>
    <phoneticPr fontId="6" type="noConversion"/>
  </si>
  <si>
    <t>미지급금</t>
    <phoneticPr fontId="6" type="noConversion"/>
  </si>
  <si>
    <t>미수금</t>
    <phoneticPr fontId="6" type="noConversion"/>
  </si>
  <si>
    <t>매출원가</t>
    <phoneticPr fontId="6" type="noConversion"/>
  </si>
  <si>
    <t>예수부가세</t>
    <phoneticPr fontId="6" type="noConversion"/>
  </si>
  <si>
    <t>합계</t>
    <phoneticPr fontId="6" type="noConversion"/>
  </si>
  <si>
    <t>임대을매출_수수료</t>
    <phoneticPr fontId="6" type="noConversion"/>
  </si>
  <si>
    <t>2025.07.26~26.07.25</t>
    <phoneticPr fontId="6" type="noConversion"/>
  </si>
  <si>
    <t>VAT</t>
    <phoneticPr fontId="6" type="noConversion"/>
  </si>
  <si>
    <t>임대을매출_할인</t>
    <phoneticPr fontId="6" type="noConversion"/>
  </si>
  <si>
    <t>임대을매출원가</t>
    <phoneticPr fontId="6" type="noConversion"/>
  </si>
  <si>
    <t>임대료</t>
    <phoneticPr fontId="6" type="noConversion"/>
  </si>
  <si>
    <t>임대을매출</t>
    <phoneticPr fontId="6" type="noConversion"/>
  </si>
  <si>
    <t>2024.07.26~25.07.25</t>
    <phoneticPr fontId="6" type="noConversion"/>
  </si>
  <si>
    <t>수수료율</t>
    <phoneticPr fontId="6" type="noConversion"/>
  </si>
  <si>
    <t>해외카드 결제분 있을 시, BC카드 가맹점 홈페이지 확인</t>
    <phoneticPr fontId="6" type="noConversion"/>
  </si>
  <si>
    <t>미수금</t>
    <phoneticPr fontId="6" type="noConversion"/>
  </si>
  <si>
    <t>* 상품대지급일 (익월 25일까지) - 카드매출금에서 수수료 제외 후 입금</t>
    <phoneticPr fontId="6" type="noConversion"/>
  </si>
  <si>
    <t xml:space="preserve"> * 기간 26년10월27일까지</t>
    <phoneticPr fontId="6" type="noConversion"/>
  </si>
  <si>
    <t xml:space="preserve"> * 당사 카드 단말기 사용 (국민 004-04-0415-258 계좌)</t>
    <phoneticPr fontId="6" type="noConversion"/>
  </si>
  <si>
    <t>VAT</t>
    <phoneticPr fontId="6" type="noConversion"/>
  </si>
  <si>
    <t>매출원가</t>
    <phoneticPr fontId="6" type="noConversion"/>
  </si>
  <si>
    <t>최저</t>
    <phoneticPr fontId="6" type="noConversion"/>
  </si>
  <si>
    <t>청량리역점</t>
    <phoneticPr fontId="6" type="noConversion"/>
  </si>
  <si>
    <t>2억 이상</t>
    <phoneticPr fontId="6" type="noConversion"/>
  </si>
  <si>
    <t>010-9179-7491</t>
    <phoneticPr fontId="6" type="noConversion"/>
  </si>
  <si>
    <t>1억5천이상</t>
    <phoneticPr fontId="6" type="noConversion"/>
  </si>
  <si>
    <t>매출 관련 문의 12.19일자 기준</t>
    <phoneticPr fontId="6" type="noConversion"/>
  </si>
  <si>
    <t>최소보장
임대료</t>
    <phoneticPr fontId="6" type="noConversion"/>
  </si>
  <si>
    <t>1억5천미만</t>
    <phoneticPr fontId="6" type="noConversion"/>
  </si>
  <si>
    <t>태극당</t>
    <phoneticPr fontId="6" type="noConversion"/>
  </si>
  <si>
    <t>(VAT 별도)</t>
    <phoneticPr fontId="6" type="noConversion"/>
  </si>
  <si>
    <t>(VAT포함)</t>
    <phoneticPr fontId="6" type="noConversion"/>
  </si>
  <si>
    <t>* 상품대지급일 (익월 10일까지) - 카드매출금에서 수수료 제외 후 입금</t>
    <phoneticPr fontId="6" type="noConversion"/>
  </si>
  <si>
    <t>* 당사 카드 단말기 사용 (국민 004-01-0415258 계좌)</t>
    <phoneticPr fontId="6" type="noConversion"/>
  </si>
  <si>
    <t>미지급금</t>
    <phoneticPr fontId="6" type="noConversion"/>
  </si>
  <si>
    <t>할인</t>
    <phoneticPr fontId="6" type="noConversion"/>
  </si>
  <si>
    <t>미수금</t>
    <phoneticPr fontId="6" type="noConversion"/>
  </si>
  <si>
    <t>매출원가</t>
    <phoneticPr fontId="6" type="noConversion"/>
  </si>
  <si>
    <t>예수부가세</t>
    <phoneticPr fontId="6" type="noConversion"/>
  </si>
  <si>
    <t>합계</t>
    <phoneticPr fontId="6" type="noConversion"/>
  </si>
  <si>
    <t>임대을매출_수수료</t>
    <phoneticPr fontId="6" type="noConversion"/>
  </si>
  <si>
    <t>VAT</t>
    <phoneticPr fontId="6" type="noConversion"/>
  </si>
  <si>
    <t>임대을매출_할인</t>
    <phoneticPr fontId="6" type="noConversion"/>
  </si>
  <si>
    <t>임대을매출원가</t>
    <phoneticPr fontId="6" type="noConversion"/>
  </si>
  <si>
    <t>임대료</t>
    <phoneticPr fontId="6" type="noConversion"/>
  </si>
  <si>
    <t>임대을매출</t>
    <phoneticPr fontId="6" type="noConversion"/>
  </si>
  <si>
    <t>최소</t>
    <phoneticPr fontId="6" type="noConversion"/>
  </si>
  <si>
    <t>수수료율</t>
    <phoneticPr fontId="6" type="noConversion"/>
  </si>
  <si>
    <t>단, 영업 개시 1년 후 1년 월평균 임대료의 70%로 재설정</t>
    <phoneticPr fontId="6" type="noConversion"/>
  </si>
  <si>
    <t>27.09.01~28.08.31</t>
    <phoneticPr fontId="6" type="noConversion"/>
  </si>
  <si>
    <t>25.09.18~27.08.31</t>
    <phoneticPr fontId="6" type="noConversion"/>
  </si>
  <si>
    <t>1억</t>
    <phoneticPr fontId="6" type="noConversion"/>
  </si>
  <si>
    <t>임대보증금</t>
    <phoneticPr fontId="6" type="noConversion"/>
  </si>
  <si>
    <t>* 상품대지급일 (익월 25일까지) - 카드매출금에서 수수료 제외 후 입금</t>
    <phoneticPr fontId="6" type="noConversion"/>
  </si>
  <si>
    <t>미수금</t>
    <phoneticPr fontId="6" type="noConversion"/>
  </si>
  <si>
    <t xml:space="preserve"> * 기간 24년 11월 14일까지</t>
    <phoneticPr fontId="6" type="noConversion"/>
  </si>
  <si>
    <t>1원 조정함</t>
    <phoneticPr fontId="6" type="noConversion"/>
  </si>
  <si>
    <t>미지급금</t>
    <phoneticPr fontId="6" type="noConversion"/>
  </si>
  <si>
    <t xml:space="preserve"> * 당사 카드 단말기 사용 (국민 004-04-0415-258 계좌)</t>
    <phoneticPr fontId="6" type="noConversion"/>
  </si>
  <si>
    <t>예수부가세</t>
    <phoneticPr fontId="6" type="noConversion"/>
  </si>
  <si>
    <t>임대을매출_수수료</t>
    <phoneticPr fontId="6" type="noConversion"/>
  </si>
  <si>
    <t>합계</t>
    <phoneticPr fontId="6" type="noConversion"/>
  </si>
  <si>
    <t>임대을매출_할인</t>
    <phoneticPr fontId="6" type="noConversion"/>
  </si>
  <si>
    <t>임대을매출원가</t>
    <phoneticPr fontId="6" type="noConversion"/>
  </si>
  <si>
    <t>VAT</t>
    <phoneticPr fontId="6" type="noConversion"/>
  </si>
  <si>
    <t>임대료</t>
    <phoneticPr fontId="6" type="noConversion"/>
  </si>
  <si>
    <t>임대을매출</t>
    <phoneticPr fontId="6" type="noConversion"/>
  </si>
  <si>
    <t>매출원가</t>
    <phoneticPr fontId="6" type="noConversion"/>
  </si>
  <si>
    <t>최저</t>
    <phoneticPr fontId="6" type="noConversion"/>
  </si>
  <si>
    <t>수수료율</t>
    <phoneticPr fontId="6" type="noConversion"/>
  </si>
  <si>
    <t>금액 비교 후 더 적으면 그냥 1달 최저로 부과하기</t>
    <phoneticPr fontId="6" type="noConversion"/>
  </si>
  <si>
    <t>2027.11.1~2028.10.31</t>
    <phoneticPr fontId="6" type="noConversion"/>
  </si>
  <si>
    <t>2025.11.1~2026.10.31</t>
    <phoneticPr fontId="6" type="noConversion"/>
  </si>
  <si>
    <t>2024.11.01~2025.10.31</t>
    <phoneticPr fontId="6" type="noConversion"/>
  </si>
  <si>
    <t>최소보장
임대료</t>
    <phoneticPr fontId="6" type="noConversion"/>
  </si>
  <si>
    <t>2023.11.01~2024.10.31</t>
    <phoneticPr fontId="6" type="noConversion"/>
  </si>
  <si>
    <t>사보텐</t>
    <phoneticPr fontId="6" type="noConversion"/>
  </si>
  <si>
    <t>해외카드 결제분 있을 시, BC카드 가맹점 홈페이지 확인</t>
    <phoneticPr fontId="6" type="noConversion"/>
  </si>
  <si>
    <t>미지급금</t>
    <phoneticPr fontId="6" type="noConversion"/>
  </si>
  <si>
    <t>예수부가세</t>
    <phoneticPr fontId="6" type="noConversion"/>
  </si>
  <si>
    <t>* 상품대지급일 (익월 25일까지) - 카드매출금에서 수수료 제외 후 입금</t>
    <phoneticPr fontId="6" type="noConversion"/>
  </si>
  <si>
    <t>임대을매출_수수료</t>
    <phoneticPr fontId="6" type="noConversion"/>
  </si>
  <si>
    <t>임대을매출_할인</t>
    <phoneticPr fontId="6" type="noConversion"/>
  </si>
  <si>
    <t>임대을매출원가</t>
    <phoneticPr fontId="6" type="noConversion"/>
  </si>
  <si>
    <t xml:space="preserve"> * 기간 24년 11월 14일까지</t>
    <phoneticPr fontId="6" type="noConversion"/>
  </si>
  <si>
    <t xml:space="preserve"> * 당사 카드 단말기 사용 (국민 004-04-0415-258 계좌)</t>
    <phoneticPr fontId="6" type="noConversion"/>
  </si>
  <si>
    <t>임대을매출</t>
    <phoneticPr fontId="6" type="noConversion"/>
  </si>
  <si>
    <t>합계</t>
    <phoneticPr fontId="6" type="noConversion"/>
  </si>
  <si>
    <t>VAT</t>
    <phoneticPr fontId="6" type="noConversion"/>
  </si>
  <si>
    <t>임대료</t>
    <phoneticPr fontId="6" type="noConversion"/>
  </si>
  <si>
    <t>매출원가</t>
    <phoneticPr fontId="6" type="noConversion"/>
  </si>
  <si>
    <t>최저</t>
    <phoneticPr fontId="6" type="noConversion"/>
  </si>
  <si>
    <t>수수료율</t>
    <phoneticPr fontId="6" type="noConversion"/>
  </si>
  <si>
    <t>얘네 현금입금함</t>
    <phoneticPr fontId="6" type="noConversion"/>
  </si>
  <si>
    <t>해외카드 결제분 있을 시, BC카드 가맹점 홈페이지 확인</t>
    <phoneticPr fontId="6" type="noConversion"/>
  </si>
  <si>
    <t>푸디코리아㈜</t>
    <phoneticPr fontId="6" type="noConversion"/>
  </si>
  <si>
    <t>라멘짱</t>
    <phoneticPr fontId="6" type="noConversion"/>
  </si>
  <si>
    <t>528-85-02070</t>
    <phoneticPr fontId="6" type="noConversion"/>
  </si>
  <si>
    <t>002070</t>
    <phoneticPr fontId="6" type="noConversion"/>
  </si>
  <si>
    <t>입금기한</t>
    <phoneticPr fontId="6" type="noConversion"/>
  </si>
  <si>
    <t>잔액</t>
    <phoneticPr fontId="6" type="noConversion"/>
  </si>
  <si>
    <t>삼송빵집 청량리역점</t>
    <phoneticPr fontId="6" type="noConversion"/>
  </si>
  <si>
    <t>삼송빵집</t>
    <phoneticPr fontId="6" type="noConversion"/>
  </si>
  <si>
    <t>720-87-00099</t>
    <phoneticPr fontId="6" type="noConversion"/>
  </si>
  <si>
    <t>000099</t>
    <phoneticPr fontId="6" type="noConversion"/>
  </si>
  <si>
    <t>한국집 청량리역점</t>
    <phoneticPr fontId="6" type="noConversion"/>
  </si>
  <si>
    <t>한국집</t>
    <phoneticPr fontId="6" type="noConversion"/>
  </si>
  <si>
    <t>344-58-00629</t>
    <phoneticPr fontId="6" type="noConversion"/>
  </si>
  <si>
    <t>000629</t>
    <phoneticPr fontId="6" type="noConversion"/>
  </si>
  <si>
    <t>㈜동민수산</t>
    <phoneticPr fontId="6" type="noConversion"/>
  </si>
  <si>
    <t>시마스시</t>
    <phoneticPr fontId="6" type="noConversion"/>
  </si>
  <si>
    <t>837-85-00715</t>
    <phoneticPr fontId="6" type="noConversion"/>
  </si>
  <si>
    <t>000715</t>
    <phoneticPr fontId="6" type="noConversion"/>
  </si>
  <si>
    <t>배꼽집 더 클래식</t>
    <phoneticPr fontId="6" type="noConversion"/>
  </si>
  <si>
    <t>배꼽집</t>
    <phoneticPr fontId="6" type="noConversion"/>
  </si>
  <si>
    <t>613-86-03132</t>
    <phoneticPr fontId="6" type="noConversion"/>
  </si>
  <si>
    <t>003132</t>
    <phoneticPr fontId="6" type="noConversion"/>
  </si>
  <si>
    <t>카페드페소니아</t>
    <phoneticPr fontId="6" type="noConversion"/>
  </si>
  <si>
    <t>카페드페소니아</t>
    <phoneticPr fontId="6" type="noConversion"/>
  </si>
  <si>
    <t>436-85-01786</t>
    <phoneticPr fontId="6" type="noConversion"/>
  </si>
  <si>
    <t>001786</t>
    <phoneticPr fontId="6" type="noConversion"/>
  </si>
  <si>
    <t>480-85-02730</t>
    <phoneticPr fontId="6" type="noConversion"/>
  </si>
  <si>
    <t>002730</t>
    <phoneticPr fontId="6" type="noConversion"/>
  </si>
  <si>
    <t>홍대개미 청량리역사점</t>
    <phoneticPr fontId="6" type="noConversion"/>
  </si>
  <si>
    <t>홍대개미</t>
    <phoneticPr fontId="6" type="noConversion"/>
  </si>
  <si>
    <t>태극당청량리역점</t>
    <phoneticPr fontId="6" type="noConversion"/>
  </si>
  <si>
    <t>태극당</t>
    <phoneticPr fontId="6" type="noConversion"/>
  </si>
  <si>
    <t>876-85-01534</t>
    <phoneticPr fontId="6" type="noConversion"/>
  </si>
  <si>
    <t>001534</t>
    <phoneticPr fontId="6" type="noConversion"/>
  </si>
  <si>
    <t>㈜캘리스코</t>
    <phoneticPr fontId="6" type="noConversion"/>
  </si>
  <si>
    <t>사보텐</t>
    <phoneticPr fontId="6" type="noConversion"/>
  </si>
  <si>
    <t>548-85-00886</t>
    <phoneticPr fontId="6" type="noConversion"/>
  </si>
  <si>
    <t>000886</t>
    <phoneticPr fontId="6" type="noConversion"/>
  </si>
  <si>
    <t>마호가니 by 도레도레</t>
    <phoneticPr fontId="6" type="noConversion"/>
  </si>
  <si>
    <t>마호가니</t>
    <phoneticPr fontId="6" type="noConversion"/>
  </si>
  <si>
    <t>131-86-68405</t>
    <phoneticPr fontId="6" type="noConversion"/>
  </si>
  <si>
    <t>168405</t>
    <phoneticPr fontId="6" type="noConversion"/>
  </si>
  <si>
    <t>007072</t>
    <phoneticPr fontId="6" type="noConversion"/>
  </si>
  <si>
    <t>015419</t>
    <phoneticPr fontId="6" type="noConversion"/>
  </si>
  <si>
    <t>일   자</t>
    <phoneticPr fontId="6" type="noConversion"/>
  </si>
  <si>
    <t>전자화폐</t>
    <phoneticPr fontId="6" type="noConversion"/>
  </si>
  <si>
    <t>카드매출액</t>
    <phoneticPr fontId="6" type="noConversion"/>
  </si>
  <si>
    <t>할인액</t>
    <phoneticPr fontId="6" type="noConversion"/>
  </si>
  <si>
    <t>총매출액</t>
    <phoneticPr fontId="6" type="noConversion"/>
  </si>
  <si>
    <t>입금일</t>
    <phoneticPr fontId="6" type="noConversion"/>
  </si>
  <si>
    <t>입금액</t>
    <phoneticPr fontId="6" type="noConversion"/>
  </si>
  <si>
    <t>잔액</t>
    <phoneticPr fontId="6" type="noConversion"/>
  </si>
  <si>
    <t>연체일</t>
    <phoneticPr fontId="6" type="noConversion"/>
  </si>
  <si>
    <t>연체료</t>
    <phoneticPr fontId="6" type="noConversion"/>
  </si>
  <si>
    <t>위쳇페이</t>
    <phoneticPr fontId="6" type="noConversion"/>
  </si>
  <si>
    <t>NH농협</t>
    <phoneticPr fontId="6" type="noConversion"/>
  </si>
  <si>
    <t>비씨</t>
    <phoneticPr fontId="6" type="noConversion"/>
  </si>
  <si>
    <t>신한</t>
    <phoneticPr fontId="6" type="noConversion"/>
  </si>
  <si>
    <t>롯데</t>
    <phoneticPr fontId="6" type="noConversion"/>
  </si>
  <si>
    <t>합 계</t>
  </si>
  <si>
    <t>033138</t>
    <phoneticPr fontId="6" type="noConversion"/>
  </si>
  <si>
    <t>037726</t>
    <phoneticPr fontId="6" type="noConversion"/>
  </si>
  <si>
    <t>072014</t>
    <phoneticPr fontId="6" type="noConversion"/>
  </si>
  <si>
    <t>045602</t>
    <phoneticPr fontId="6" type="noConversion"/>
  </si>
  <si>
    <t>054231</t>
    <phoneticPr fontId="6" type="noConversion"/>
  </si>
  <si>
    <t>현금매출액</t>
    <phoneticPr fontId="6" type="noConversion"/>
  </si>
  <si>
    <t>전자화폐</t>
    <phoneticPr fontId="6" type="noConversion"/>
  </si>
  <si>
    <t>할인액</t>
    <phoneticPr fontId="6" type="noConversion"/>
  </si>
  <si>
    <t>총매출액</t>
    <phoneticPr fontId="6" type="noConversion"/>
  </si>
  <si>
    <t>입금기한</t>
    <phoneticPr fontId="6" type="noConversion"/>
  </si>
  <si>
    <t>입금일</t>
    <phoneticPr fontId="6" type="noConversion"/>
  </si>
  <si>
    <t>입금액</t>
    <phoneticPr fontId="6" type="noConversion"/>
  </si>
  <si>
    <t>연체일</t>
    <phoneticPr fontId="6" type="noConversion"/>
  </si>
  <si>
    <t>연체료</t>
    <phoneticPr fontId="6" type="noConversion"/>
  </si>
  <si>
    <t>위쳇페이</t>
    <phoneticPr fontId="6" type="noConversion"/>
  </si>
  <si>
    <t>KB국민</t>
    <phoneticPr fontId="6" type="noConversion"/>
  </si>
  <si>
    <t>비씨</t>
    <phoneticPr fontId="6" type="noConversion"/>
  </si>
  <si>
    <t>현대</t>
    <phoneticPr fontId="6" type="noConversion"/>
  </si>
  <si>
    <t>신한</t>
    <phoneticPr fontId="6" type="noConversion"/>
  </si>
  <si>
    <t>삼성</t>
    <phoneticPr fontId="6" type="noConversion"/>
  </si>
  <si>
    <t>롯데</t>
    <phoneticPr fontId="6" type="noConversion"/>
  </si>
  <si>
    <t>033138</t>
    <phoneticPr fontId="6" type="noConversion"/>
  </si>
  <si>
    <t>007072</t>
    <phoneticPr fontId="6" type="noConversion"/>
  </si>
  <si>
    <t>037726</t>
    <phoneticPr fontId="6" type="noConversion"/>
  </si>
  <si>
    <t>015419</t>
    <phoneticPr fontId="6" type="noConversion"/>
  </si>
  <si>
    <t>072014</t>
    <phoneticPr fontId="6" type="noConversion"/>
  </si>
  <si>
    <t>045602</t>
    <phoneticPr fontId="6" type="noConversion"/>
  </si>
  <si>
    <t>054231</t>
    <phoneticPr fontId="6" type="noConversion"/>
  </si>
  <si>
    <t>일   자</t>
    <phoneticPr fontId="6" type="noConversion"/>
  </si>
  <si>
    <t>현금매출액</t>
    <phoneticPr fontId="6" type="noConversion"/>
  </si>
  <si>
    <t>전자화폐</t>
    <phoneticPr fontId="6" type="noConversion"/>
  </si>
  <si>
    <t>카드매출액</t>
    <phoneticPr fontId="6" type="noConversion"/>
  </si>
  <si>
    <t>할인액</t>
    <phoneticPr fontId="6" type="noConversion"/>
  </si>
  <si>
    <t>총매출액</t>
    <phoneticPr fontId="6" type="noConversion"/>
  </si>
  <si>
    <t>입금기한</t>
    <phoneticPr fontId="6" type="noConversion"/>
  </si>
  <si>
    <t>입금일</t>
    <phoneticPr fontId="6" type="noConversion"/>
  </si>
  <si>
    <t>입금액</t>
    <phoneticPr fontId="6" type="noConversion"/>
  </si>
  <si>
    <t>잔액</t>
    <phoneticPr fontId="6" type="noConversion"/>
  </si>
  <si>
    <t>연체일</t>
    <phoneticPr fontId="6" type="noConversion"/>
  </si>
  <si>
    <t>연체료</t>
    <phoneticPr fontId="6" type="noConversion"/>
  </si>
  <si>
    <t>하나</t>
    <phoneticPr fontId="6" type="noConversion"/>
  </si>
  <si>
    <t>위쳇페이</t>
    <phoneticPr fontId="6" type="noConversion"/>
  </si>
  <si>
    <t>KB국민</t>
    <phoneticPr fontId="6" type="noConversion"/>
  </si>
  <si>
    <t>NH농협</t>
    <phoneticPr fontId="6" type="noConversion"/>
  </si>
  <si>
    <t>비씨</t>
    <phoneticPr fontId="6" type="noConversion"/>
  </si>
  <si>
    <t>현대</t>
    <phoneticPr fontId="6" type="noConversion"/>
  </si>
  <si>
    <t>신한</t>
    <phoneticPr fontId="6" type="noConversion"/>
  </si>
  <si>
    <t>삼성</t>
    <phoneticPr fontId="6" type="noConversion"/>
  </si>
  <si>
    <t>롯데</t>
    <phoneticPr fontId="6" type="noConversion"/>
  </si>
  <si>
    <t>합계</t>
    <phoneticPr fontId="6" type="noConversion"/>
  </si>
  <si>
    <t>054231</t>
    <phoneticPr fontId="6" type="noConversion"/>
  </si>
  <si>
    <t>일   자</t>
    <phoneticPr fontId="6" type="noConversion"/>
  </si>
  <si>
    <t>현금매출액</t>
    <phoneticPr fontId="6" type="noConversion"/>
  </si>
  <si>
    <t>전자화폐</t>
    <phoneticPr fontId="6" type="noConversion"/>
  </si>
  <si>
    <t>연체일</t>
    <phoneticPr fontId="6" type="noConversion"/>
  </si>
  <si>
    <t>하나</t>
    <phoneticPr fontId="6" type="noConversion"/>
  </si>
  <si>
    <t>KB국민</t>
    <phoneticPr fontId="6" type="noConversion"/>
  </si>
  <si>
    <t>총매출액</t>
    <phoneticPr fontId="6" type="noConversion"/>
  </si>
  <si>
    <t>KB국민</t>
    <phoneticPr fontId="6" type="noConversion"/>
  </si>
  <si>
    <t>033138</t>
    <phoneticPr fontId="6" type="noConversion"/>
  </si>
  <si>
    <t>054231</t>
    <phoneticPr fontId="6" type="noConversion"/>
  </si>
  <si>
    <t>입금기한</t>
    <phoneticPr fontId="6" type="noConversion"/>
  </si>
  <si>
    <t>입금액</t>
    <phoneticPr fontId="6" type="noConversion"/>
  </si>
  <si>
    <t>연체일</t>
    <phoneticPr fontId="6" type="noConversion"/>
  </si>
  <si>
    <t>연체료</t>
    <phoneticPr fontId="6" type="noConversion"/>
  </si>
  <si>
    <t>하나</t>
    <phoneticPr fontId="6" type="noConversion"/>
  </si>
  <si>
    <t>NH농협</t>
    <phoneticPr fontId="6" type="noConversion"/>
  </si>
  <si>
    <t>비씨</t>
    <phoneticPr fontId="6" type="noConversion"/>
  </si>
  <si>
    <t>현대</t>
    <phoneticPr fontId="6" type="noConversion"/>
  </si>
  <si>
    <t>합계</t>
    <phoneticPr fontId="6" type="noConversion"/>
  </si>
  <si>
    <t>072014</t>
    <phoneticPr fontId="6" type="noConversion"/>
  </si>
  <si>
    <t>카드매출액</t>
    <phoneticPr fontId="6" type="noConversion"/>
  </si>
  <si>
    <t>총매출액</t>
    <phoneticPr fontId="6" type="noConversion"/>
  </si>
  <si>
    <t>잔액</t>
    <phoneticPr fontId="6" type="noConversion"/>
  </si>
  <si>
    <t>하나</t>
    <phoneticPr fontId="6" type="noConversion"/>
  </si>
  <si>
    <t>KB국민</t>
    <phoneticPr fontId="6" type="noConversion"/>
  </si>
  <si>
    <t>신한</t>
    <phoneticPr fontId="6" type="noConversion"/>
  </si>
  <si>
    <t>045602</t>
    <phoneticPr fontId="6" type="noConversion"/>
  </si>
  <si>
    <t>전자화폐</t>
    <phoneticPr fontId="6" type="noConversion"/>
  </si>
  <si>
    <t>033138</t>
    <phoneticPr fontId="6" type="noConversion"/>
  </si>
  <si>
    <t>007072</t>
    <phoneticPr fontId="6" type="noConversion"/>
  </si>
  <si>
    <t>037726</t>
    <phoneticPr fontId="6" type="noConversion"/>
  </si>
  <si>
    <t>045602</t>
    <phoneticPr fontId="6" type="noConversion"/>
  </si>
  <si>
    <t>054231</t>
    <phoneticPr fontId="6" type="noConversion"/>
  </si>
  <si>
    <t>일   자</t>
    <phoneticPr fontId="6" type="noConversion"/>
  </si>
  <si>
    <t>현금매출액</t>
    <phoneticPr fontId="6" type="noConversion"/>
  </si>
  <si>
    <t>전자화폐</t>
    <phoneticPr fontId="6" type="noConversion"/>
  </si>
  <si>
    <t>카드매출액</t>
    <phoneticPr fontId="6" type="noConversion"/>
  </si>
  <si>
    <t>할인액</t>
    <phoneticPr fontId="6" type="noConversion"/>
  </si>
  <si>
    <t>총매출액</t>
    <phoneticPr fontId="6" type="noConversion"/>
  </si>
  <si>
    <t>입금기한</t>
    <phoneticPr fontId="6" type="noConversion"/>
  </si>
  <si>
    <t>입금일</t>
    <phoneticPr fontId="6" type="noConversion"/>
  </si>
  <si>
    <t>잔액</t>
    <phoneticPr fontId="6" type="noConversion"/>
  </si>
  <si>
    <t>연체일</t>
    <phoneticPr fontId="6" type="noConversion"/>
  </si>
  <si>
    <t>연체료</t>
    <phoneticPr fontId="6" type="noConversion"/>
  </si>
  <si>
    <t>하나</t>
    <phoneticPr fontId="6" type="noConversion"/>
  </si>
  <si>
    <t>위쳇페이</t>
    <phoneticPr fontId="6" type="noConversion"/>
  </si>
  <si>
    <t>KB국민</t>
    <phoneticPr fontId="6" type="noConversion"/>
  </si>
  <si>
    <t>NH농협</t>
    <phoneticPr fontId="6" type="noConversion"/>
  </si>
  <si>
    <t>비씨</t>
    <phoneticPr fontId="6" type="noConversion"/>
  </si>
  <si>
    <t>현대</t>
    <phoneticPr fontId="6" type="noConversion"/>
  </si>
  <si>
    <t>신한</t>
    <phoneticPr fontId="6" type="noConversion"/>
  </si>
  <si>
    <t>삼성</t>
    <phoneticPr fontId="6" type="noConversion"/>
  </si>
  <si>
    <t>롯데</t>
    <phoneticPr fontId="6" type="noConversion"/>
  </si>
  <si>
    <t>합계</t>
    <phoneticPr fontId="6" type="noConversion"/>
  </si>
  <si>
    <t>033138</t>
    <phoneticPr fontId="6" type="noConversion"/>
  </si>
  <si>
    <t>007072</t>
    <phoneticPr fontId="6" type="noConversion"/>
  </si>
  <si>
    <t>037726</t>
    <phoneticPr fontId="6" type="noConversion"/>
  </si>
  <si>
    <t>072014</t>
    <phoneticPr fontId="6" type="noConversion"/>
  </si>
  <si>
    <t>045602</t>
    <phoneticPr fontId="6" type="noConversion"/>
  </si>
  <si>
    <t>카드매출액</t>
    <phoneticPr fontId="6" type="noConversion"/>
  </si>
  <si>
    <t>할인액</t>
    <phoneticPr fontId="6" type="noConversion"/>
  </si>
  <si>
    <t>입금일</t>
    <phoneticPr fontId="6" type="noConversion"/>
  </si>
  <si>
    <t>입금액</t>
    <phoneticPr fontId="6" type="noConversion"/>
  </si>
  <si>
    <t>연체일</t>
    <phoneticPr fontId="6" type="noConversion"/>
  </si>
  <si>
    <t>하나</t>
    <phoneticPr fontId="6" type="noConversion"/>
  </si>
  <si>
    <t>KB국민</t>
    <phoneticPr fontId="6" type="noConversion"/>
  </si>
  <si>
    <t>신한</t>
    <phoneticPr fontId="6" type="noConversion"/>
  </si>
  <si>
    <t>합계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</si>
</sst>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_);[Red]\(0\)"/>
    <numFmt numFmtId="177" formatCode="m&quot;/&quot;d;@"/>
    <numFmt numFmtId="178" formatCode="0.0%"/>
    <numFmt numFmtId="179" formatCode="mm&quot;월&quot;\ dd&quot;일&quot;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u/>
      <sz val="18"/>
      <color rgb="FFFF0000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name val="맑은 고딕"/>
      <family val="3"/>
      <charset val="129"/>
    </font>
    <font>
      <b/>
      <u/>
      <sz val="18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</cellStyleXfs>
  <cellXfs count="231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41" fontId="5" fillId="0" borderId="0" xfId="1" applyFont="1" applyFill="1">
      <alignment vertical="center"/>
    </xf>
    <xf numFmtId="0" fontId="5" fillId="0" borderId="0" xfId="4" applyFont="1" applyFill="1">
      <alignment vertical="center"/>
    </xf>
    <xf numFmtId="176" fontId="5" fillId="0" borderId="0" xfId="4" applyNumberFormat="1" applyFont="1" applyFill="1">
      <alignment vertical="center"/>
    </xf>
    <xf numFmtId="41" fontId="5" fillId="0" borderId="1" xfId="1" applyFont="1" applyFill="1" applyBorder="1" applyAlignment="1">
      <alignment horizontal="center" vertical="center"/>
    </xf>
    <xf numFmtId="41" fontId="5" fillId="0" borderId="2" xfId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5" fillId="0" borderId="0" xfId="4" applyFont="1" applyFill="1" applyBorder="1">
      <alignment vertical="center"/>
    </xf>
    <xf numFmtId="41" fontId="5" fillId="0" borderId="4" xfId="0" applyNumberFormat="1" applyFont="1" applyFill="1" applyBorder="1">
      <alignment vertical="center"/>
    </xf>
    <xf numFmtId="41" fontId="5" fillId="0" borderId="0" xfId="1" applyFont="1" applyFill="1" applyBorder="1" applyAlignment="1">
      <alignment horizontal="left" vertical="center"/>
    </xf>
    <xf numFmtId="41" fontId="5" fillId="0" borderId="0" xfId="1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0" xfId="4" applyFont="1" applyFill="1" applyAlignment="1">
      <alignment horizontal="center" vertical="center"/>
    </xf>
    <xf numFmtId="41" fontId="7" fillId="0" borderId="0" xfId="1" applyFont="1" applyFill="1" applyBorder="1" applyAlignment="1">
      <alignment horizontal="center" vertical="center"/>
    </xf>
    <xf numFmtId="14" fontId="5" fillId="0" borderId="0" xfId="4" applyNumberFormat="1" applyFont="1" applyFill="1">
      <alignment vertical="center"/>
    </xf>
    <xf numFmtId="14" fontId="5" fillId="0" borderId="0" xfId="1" applyNumberFormat="1" applyFont="1" applyFill="1">
      <alignment vertical="center"/>
    </xf>
    <xf numFmtId="14" fontId="5" fillId="0" borderId="0" xfId="4" applyNumberFormat="1" applyFont="1" applyFill="1" applyAlignment="1">
      <alignment horizontal="center" vertical="center"/>
    </xf>
    <xf numFmtId="14" fontId="5" fillId="0" borderId="0" xfId="1" applyNumberFormat="1" applyFont="1" applyFill="1" applyAlignment="1">
      <alignment horizontal="center" vertical="center"/>
    </xf>
    <xf numFmtId="0" fontId="5" fillId="0" borderId="0" xfId="4" applyFont="1" applyFill="1" applyAlignment="1">
      <alignment horizontal="left" vertical="center"/>
    </xf>
    <xf numFmtId="0" fontId="5" fillId="4" borderId="0" xfId="0" applyFont="1" applyFill="1">
      <alignment vertical="center"/>
    </xf>
    <xf numFmtId="41" fontId="5" fillId="5" borderId="4" xfId="0" applyNumberFormat="1" applyFont="1" applyFill="1" applyBorder="1">
      <alignment vertical="center"/>
    </xf>
    <xf numFmtId="0" fontId="5" fillId="0" borderId="0" xfId="1" applyNumberFormat="1" applyFont="1" applyFill="1" applyBorder="1" applyAlignment="1">
      <alignment vertical="center"/>
    </xf>
    <xf numFmtId="41" fontId="5" fillId="0" borderId="0" xfId="1" applyFont="1" applyFill="1" applyAlignment="1">
      <alignment horizontal="center" vertical="center"/>
    </xf>
    <xf numFmtId="0" fontId="5" fillId="0" borderId="6" xfId="4" applyFont="1" applyFill="1" applyBorder="1">
      <alignment vertical="center"/>
    </xf>
    <xf numFmtId="10" fontId="5" fillId="0" borderId="0" xfId="1" applyNumberFormat="1" applyFont="1" applyFill="1">
      <alignment vertical="center"/>
    </xf>
    <xf numFmtId="10" fontId="5" fillId="0" borderId="0" xfId="5" applyNumberFormat="1" applyFont="1" applyFill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8" fillId="6" borderId="7" xfId="1" applyFont="1" applyFill="1" applyBorder="1">
      <alignment vertical="center"/>
    </xf>
    <xf numFmtId="41" fontId="8" fillId="7" borderId="8" xfId="1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41" fontId="5" fillId="0" borderId="0" xfId="0" applyNumberFormat="1" applyFont="1" applyFill="1">
      <alignment vertical="center"/>
    </xf>
    <xf numFmtId="0" fontId="5" fillId="0" borderId="10" xfId="0" applyFont="1" applyFill="1" applyBorder="1">
      <alignment vertical="center"/>
    </xf>
    <xf numFmtId="41" fontId="8" fillId="0" borderId="0" xfId="0" applyNumberFormat="1" applyFont="1" applyFill="1" applyBorder="1">
      <alignment vertical="center"/>
    </xf>
    <xf numFmtId="41" fontId="8" fillId="6" borderId="7" xfId="0" applyNumberFormat="1" applyFont="1" applyFill="1" applyBorder="1">
      <alignment vertical="center"/>
    </xf>
    <xf numFmtId="41" fontId="8" fillId="7" borderId="11" xfId="0" applyNumberFormat="1" applyFont="1" applyFill="1" applyBorder="1">
      <alignment vertical="center"/>
    </xf>
    <xf numFmtId="41" fontId="5" fillId="5" borderId="0" xfId="0" applyNumberFormat="1" applyFont="1" applyFill="1">
      <alignment vertical="center"/>
    </xf>
    <xf numFmtId="41" fontId="8" fillId="7" borderId="8" xfId="0" applyNumberFormat="1" applyFont="1" applyFill="1" applyBorder="1">
      <alignment vertical="center"/>
    </xf>
    <xf numFmtId="41" fontId="5" fillId="0" borderId="12" xfId="0" applyNumberFormat="1" applyFont="1" applyFill="1" applyBorder="1">
      <alignment vertical="center"/>
    </xf>
    <xf numFmtId="0" fontId="5" fillId="0" borderId="13" xfId="1" applyNumberFormat="1" applyFont="1" applyFill="1" applyBorder="1" applyAlignment="1">
      <alignment vertical="center"/>
    </xf>
    <xf numFmtId="41" fontId="5" fillId="0" borderId="13" xfId="1" applyFont="1" applyFill="1" applyBorder="1" applyAlignment="1">
      <alignment horizontal="center" vertical="center"/>
    </xf>
    <xf numFmtId="0" fontId="5" fillId="0" borderId="14" xfId="0" applyFont="1" applyFill="1" applyBorder="1">
      <alignment vertical="center"/>
    </xf>
    <xf numFmtId="10" fontId="8" fillId="0" borderId="0" xfId="1" applyNumberFormat="1" applyFont="1" applyFill="1" applyBorder="1" applyAlignment="1">
      <alignment horizontal="center" vertical="center"/>
    </xf>
    <xf numFmtId="10" fontId="8" fillId="0" borderId="7" xfId="1" applyNumberFormat="1" applyFont="1" applyFill="1" applyBorder="1" applyAlignment="1">
      <alignment horizontal="center" vertical="center"/>
    </xf>
    <xf numFmtId="10" fontId="8" fillId="0" borderId="8" xfId="1" applyNumberFormat="1" applyFont="1" applyFill="1" applyBorder="1">
      <alignment vertical="center"/>
    </xf>
    <xf numFmtId="41" fontId="9" fillId="0" borderId="15" xfId="6" applyFont="1" applyBorder="1" applyAlignment="1">
      <alignment vertical="center"/>
    </xf>
    <xf numFmtId="41" fontId="5" fillId="0" borderId="0" xfId="0" applyNumberFormat="1" applyFont="1" applyFill="1" applyBorder="1">
      <alignment vertical="center"/>
    </xf>
    <xf numFmtId="0" fontId="5" fillId="0" borderId="0" xfId="1" applyNumberFormat="1" applyFont="1" applyFill="1" applyAlignment="1">
      <alignment vertical="center"/>
    </xf>
    <xf numFmtId="0" fontId="5" fillId="0" borderId="13" xfId="0" applyFont="1" applyFill="1" applyBorder="1">
      <alignment vertical="center"/>
    </xf>
    <xf numFmtId="41" fontId="9" fillId="0" borderId="0" xfId="1" applyFont="1" applyBorder="1" applyAlignment="1">
      <alignment vertical="center"/>
    </xf>
    <xf numFmtId="10" fontId="5" fillId="0" borderId="16" xfId="0" applyNumberFormat="1" applyFont="1" applyFill="1" applyBorder="1">
      <alignment vertical="center"/>
    </xf>
    <xf numFmtId="0" fontId="5" fillId="0" borderId="16" xfId="0" applyFont="1" applyFill="1" applyBorder="1">
      <alignment vertical="center"/>
    </xf>
    <xf numFmtId="0" fontId="10" fillId="0" borderId="0" xfId="7" applyFont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8" fontId="9" fillId="7" borderId="2" xfId="5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178" fontId="9" fillId="0" borderId="13" xfId="5" applyNumberFormat="1" applyFont="1" applyFill="1" applyBorder="1" applyAlignment="1">
      <alignment horizontal="center" vertical="center"/>
    </xf>
    <xf numFmtId="0" fontId="12" fillId="0" borderId="0" xfId="8" applyFont="1">
      <alignment vertical="center"/>
    </xf>
    <xf numFmtId="0" fontId="5" fillId="0" borderId="6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41" fontId="5" fillId="0" borderId="7" xfId="1" applyFont="1" applyFill="1" applyBorder="1">
      <alignment vertical="center"/>
    </xf>
    <xf numFmtId="14" fontId="5" fillId="0" borderId="7" xfId="0" applyNumberFormat="1" applyFont="1" applyFill="1" applyBorder="1" applyAlignment="1">
      <alignment horizontal="center" vertical="center"/>
    </xf>
    <xf numFmtId="41" fontId="5" fillId="0" borderId="7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7" borderId="0" xfId="0" quotePrefix="1" applyNumberFormat="1" applyFont="1" applyFill="1" applyAlignment="1">
      <alignment horizontal="center" vertical="center"/>
    </xf>
    <xf numFmtId="0" fontId="7" fillId="7" borderId="0" xfId="0" applyNumberFormat="1" applyFont="1" applyFill="1" applyAlignment="1">
      <alignment horizontal="center" vertical="center"/>
    </xf>
    <xf numFmtId="49" fontId="13" fillId="0" borderId="0" xfId="0" quotePrefix="1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horizontal="center" vertical="center"/>
    </xf>
    <xf numFmtId="176" fontId="5" fillId="7" borderId="0" xfId="4" applyNumberFormat="1" applyFont="1" applyFill="1">
      <alignment vertical="center"/>
    </xf>
    <xf numFmtId="0" fontId="5" fillId="7" borderId="0" xfId="4" applyFont="1" applyFill="1">
      <alignment vertical="center"/>
    </xf>
    <xf numFmtId="0" fontId="2" fillId="2" borderId="0" xfId="2">
      <alignment vertical="center"/>
    </xf>
    <xf numFmtId="0" fontId="7" fillId="0" borderId="0" xfId="4" applyFont="1" applyFill="1" applyBorder="1" applyAlignment="1">
      <alignment horizontal="center" vertical="center"/>
    </xf>
    <xf numFmtId="41" fontId="8" fillId="7" borderId="7" xfId="1" applyFont="1" applyFill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41" fontId="5" fillId="0" borderId="10" xfId="0" applyNumberFormat="1" applyFont="1" applyFill="1" applyBorder="1">
      <alignment vertical="center"/>
    </xf>
    <xf numFmtId="41" fontId="8" fillId="7" borderId="7" xfId="0" applyNumberFormat="1" applyFont="1" applyFill="1" applyBorder="1">
      <alignment vertical="center"/>
    </xf>
    <xf numFmtId="0" fontId="3" fillId="0" borderId="0" xfId="3" applyFill="1">
      <alignment vertical="center"/>
    </xf>
    <xf numFmtId="41" fontId="5" fillId="0" borderId="7" xfId="1" applyFont="1" applyFill="1" applyBorder="1" applyAlignment="1">
      <alignment horizontal="center" vertical="center"/>
    </xf>
    <xf numFmtId="10" fontId="8" fillId="0" borderId="0" xfId="1" applyNumberFormat="1" applyFont="1" applyFill="1" applyBorder="1">
      <alignment vertical="center"/>
    </xf>
    <xf numFmtId="0" fontId="5" fillId="0" borderId="7" xfId="0" applyFont="1" applyFill="1" applyBorder="1" applyAlignment="1">
      <alignment horizontal="center" vertical="center"/>
    </xf>
    <xf numFmtId="10" fontId="8" fillId="0" borderId="7" xfId="1" applyNumberFormat="1" applyFont="1" applyFill="1" applyBorder="1">
      <alignment vertical="center"/>
    </xf>
    <xf numFmtId="0" fontId="15" fillId="9" borderId="0" xfId="0" applyFont="1" applyFill="1" applyAlignment="1">
      <alignment horizontal="center" vertical="center"/>
    </xf>
    <xf numFmtId="41" fontId="9" fillId="9" borderId="0" xfId="1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178" fontId="9" fillId="0" borderId="2" xfId="5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8" fontId="9" fillId="7" borderId="7" xfId="5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178" fontId="9" fillId="7" borderId="13" xfId="5" applyNumberFormat="1" applyFont="1" applyFill="1" applyBorder="1" applyAlignment="1">
      <alignment horizontal="center" vertical="center"/>
    </xf>
    <xf numFmtId="41" fontId="11" fillId="7" borderId="13" xfId="1" applyFont="1" applyFill="1" applyBorder="1" applyAlignment="1">
      <alignment horizontal="center" vertical="center"/>
    </xf>
    <xf numFmtId="41" fontId="11" fillId="7" borderId="7" xfId="1" applyFont="1" applyFill="1" applyBorder="1" applyAlignment="1">
      <alignment horizontal="center" vertical="center"/>
    </xf>
    <xf numFmtId="41" fontId="5" fillId="9" borderId="0" xfId="1" applyFont="1" applyFill="1" applyAlignment="1">
      <alignment horizontal="center" vertical="center"/>
    </xf>
    <xf numFmtId="41" fontId="5" fillId="0" borderId="0" xfId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41" fontId="9" fillId="0" borderId="13" xfId="6" applyFont="1" applyBorder="1" applyAlignment="1">
      <alignment vertical="center"/>
    </xf>
    <xf numFmtId="41" fontId="9" fillId="0" borderId="0" xfId="6" applyFont="1" applyBorder="1" applyAlignment="1">
      <alignment vertical="center"/>
    </xf>
    <xf numFmtId="10" fontId="5" fillId="0" borderId="0" xfId="0" applyNumberFormat="1" applyFont="1" applyFill="1">
      <alignment vertical="center"/>
    </xf>
    <xf numFmtId="41" fontId="9" fillId="0" borderId="19" xfId="1" applyFont="1" applyBorder="1" applyAlignment="1">
      <alignment horizontal="center" vertical="center"/>
    </xf>
    <xf numFmtId="41" fontId="9" fillId="0" borderId="2" xfId="6" applyFont="1" applyBorder="1" applyAlignment="1">
      <alignment horizontal="center" vertical="center" wrapText="1"/>
    </xf>
    <xf numFmtId="178" fontId="16" fillId="0" borderId="2" xfId="5" applyNumberFormat="1" applyFont="1" applyFill="1" applyBorder="1" applyAlignment="1">
      <alignment horizontal="center" vertical="center"/>
    </xf>
    <xf numFmtId="41" fontId="9" fillId="0" borderId="20" xfId="1" applyFont="1" applyBorder="1" applyAlignment="1">
      <alignment horizontal="center" vertical="center"/>
    </xf>
    <xf numFmtId="41" fontId="9" fillId="0" borderId="0" xfId="6" applyFont="1" applyBorder="1" applyAlignment="1">
      <alignment horizontal="center" vertical="center" wrapText="1"/>
    </xf>
    <xf numFmtId="178" fontId="9" fillId="7" borderId="0" xfId="5" applyNumberFormat="1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3" xfId="6" applyFont="1" applyBorder="1" applyAlignment="1">
      <alignment horizontal="center" vertical="center" wrapText="1"/>
    </xf>
    <xf numFmtId="41" fontId="8" fillId="0" borderId="9" xfId="1" applyFont="1" applyFill="1" applyBorder="1">
      <alignment vertical="center"/>
    </xf>
    <xf numFmtId="41" fontId="8" fillId="0" borderId="9" xfId="0" applyNumberFormat="1" applyFont="1" applyFill="1" applyBorder="1">
      <alignment vertical="center"/>
    </xf>
    <xf numFmtId="10" fontId="8" fillId="0" borderId="9" xfId="1" applyNumberFormat="1" applyFont="1" applyFill="1" applyBorder="1">
      <alignment vertical="center"/>
    </xf>
    <xf numFmtId="41" fontId="9" fillId="0" borderId="16" xfId="6" applyFont="1" applyBorder="1" applyAlignment="1">
      <alignment vertical="center"/>
    </xf>
    <xf numFmtId="41" fontId="9" fillId="0" borderId="0" xfId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2" xfId="4" applyFont="1" applyFill="1" applyBorder="1">
      <alignment vertical="center"/>
    </xf>
    <xf numFmtId="10" fontId="5" fillId="0" borderId="2" xfId="4" applyNumberFormat="1" applyFont="1" applyFill="1" applyBorder="1" applyAlignment="1">
      <alignment horizontal="center" vertical="center"/>
    </xf>
    <xf numFmtId="0" fontId="5" fillId="0" borderId="3" xfId="4" applyFont="1" applyFill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center"/>
    </xf>
    <xf numFmtId="41" fontId="5" fillId="0" borderId="5" xfId="1" applyFont="1" applyFill="1" applyBorder="1" applyAlignment="1">
      <alignment horizontal="center" vertical="center"/>
    </xf>
    <xf numFmtId="41" fontId="8" fillId="0" borderId="4" xfId="0" applyNumberFormat="1" applyFont="1" applyFill="1" applyBorder="1">
      <alignment vertical="center"/>
    </xf>
    <xf numFmtId="0" fontId="8" fillId="0" borderId="0" xfId="1" applyNumberFormat="1" applyFont="1" applyFill="1" applyBorder="1" applyAlignment="1">
      <alignment vertical="center"/>
    </xf>
    <xf numFmtId="3" fontId="5" fillId="0" borderId="0" xfId="4" applyNumberFormat="1" applyFont="1" applyFill="1">
      <alignment vertical="center"/>
    </xf>
    <xf numFmtId="0" fontId="17" fillId="0" borderId="0" xfId="0" applyFont="1" applyFill="1">
      <alignment vertical="center"/>
    </xf>
    <xf numFmtId="0" fontId="18" fillId="0" borderId="0" xfId="0" applyFont="1" applyFill="1" applyAlignment="1">
      <alignment horizontal="left" vertical="center"/>
    </xf>
    <xf numFmtId="41" fontId="5" fillId="10" borderId="7" xfId="1" applyFont="1" applyFill="1" applyBorder="1">
      <alignment vertical="center"/>
    </xf>
    <xf numFmtId="41" fontId="5" fillId="0" borderId="0" xfId="1" applyFont="1" applyFill="1" applyAlignment="1">
      <alignment horizontal="right" vertical="center"/>
    </xf>
    <xf numFmtId="41" fontId="5" fillId="10" borderId="7" xfId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0" fontId="5" fillId="0" borderId="7" xfId="1" applyNumberFormat="1" applyFont="1" applyFill="1" applyBorder="1">
      <alignment vertical="center"/>
    </xf>
    <xf numFmtId="0" fontId="12" fillId="0" borderId="0" xfId="8" quotePrefix="1" applyFont="1">
      <alignment vertical="center"/>
    </xf>
    <xf numFmtId="0" fontId="7" fillId="0" borderId="22" xfId="0" applyFont="1" applyFill="1" applyBorder="1" applyAlignment="1">
      <alignment horizontal="center" vertical="center"/>
    </xf>
    <xf numFmtId="179" fontId="8" fillId="0" borderId="0" xfId="4" applyNumberFormat="1" applyFont="1" applyFill="1">
      <alignment vertical="center"/>
    </xf>
    <xf numFmtId="9" fontId="8" fillId="0" borderId="0" xfId="4" applyNumberFormat="1" applyFont="1" applyFill="1">
      <alignment vertical="center"/>
    </xf>
    <xf numFmtId="0" fontId="8" fillId="0" borderId="0" xfId="4" applyFont="1" applyFill="1">
      <alignment vertical="center"/>
    </xf>
    <xf numFmtId="14" fontId="8" fillId="0" borderId="0" xfId="1" applyNumberFormat="1" applyFont="1" applyFill="1" applyAlignment="1">
      <alignment horizontal="center" vertical="center"/>
    </xf>
    <xf numFmtId="41" fontId="5" fillId="0" borderId="1" xfId="0" applyNumberFormat="1" applyFont="1" applyFill="1" applyBorder="1">
      <alignment vertical="center"/>
    </xf>
    <xf numFmtId="0" fontId="5" fillId="0" borderId="2" xfId="0" applyFont="1" applyFill="1" applyBorder="1">
      <alignment vertical="center"/>
    </xf>
    <xf numFmtId="41" fontId="5" fillId="0" borderId="3" xfId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11" borderId="0" xfId="0" applyFont="1" applyFill="1">
      <alignment vertical="center"/>
    </xf>
    <xf numFmtId="0" fontId="5" fillId="0" borderId="5" xfId="1" applyNumberFormat="1" applyFont="1" applyFill="1" applyBorder="1" applyAlignment="1">
      <alignment vertical="center"/>
    </xf>
    <xf numFmtId="9" fontId="5" fillId="7" borderId="0" xfId="4" applyNumberFormat="1" applyFont="1" applyFill="1">
      <alignment vertical="center"/>
    </xf>
    <xf numFmtId="41" fontId="5" fillId="7" borderId="7" xfId="1" applyFont="1" applyFill="1" applyBorder="1">
      <alignment vertical="center"/>
    </xf>
    <xf numFmtId="41" fontId="5" fillId="7" borderId="7" xfId="0" applyNumberFormat="1" applyFont="1" applyFill="1" applyBorder="1">
      <alignment vertical="center"/>
    </xf>
    <xf numFmtId="9" fontId="5" fillId="0" borderId="0" xfId="4" applyNumberFormat="1" applyFont="1" applyFill="1" applyBorder="1">
      <alignment vertical="center"/>
    </xf>
    <xf numFmtId="10" fontId="8" fillId="7" borderId="7" xfId="1" applyNumberFormat="1" applyFont="1" applyFill="1" applyBorder="1">
      <alignment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Border="1">
      <alignment vertical="center"/>
    </xf>
    <xf numFmtId="41" fontId="0" fillId="0" borderId="7" xfId="1" applyFont="1" applyFill="1" applyBorder="1">
      <alignment vertical="center"/>
    </xf>
    <xf numFmtId="0" fontId="0" fillId="0" borderId="7" xfId="0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178" fontId="9" fillId="0" borderId="0" xfId="5" applyNumberFormat="1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9" applyFont="1" applyFill="1">
      <alignment vertical="center"/>
    </xf>
    <xf numFmtId="176" fontId="5" fillId="0" borderId="0" xfId="9" applyNumberFormat="1" applyFont="1" applyFill="1">
      <alignment vertical="center"/>
    </xf>
    <xf numFmtId="0" fontId="5" fillId="0" borderId="0" xfId="9" applyFont="1" applyFill="1" applyBorder="1">
      <alignment vertical="center"/>
    </xf>
    <xf numFmtId="14" fontId="5" fillId="0" borderId="0" xfId="9" applyNumberFormat="1" applyFont="1" applyFill="1">
      <alignment vertical="center"/>
    </xf>
    <xf numFmtId="0" fontId="5" fillId="0" borderId="0" xfId="9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7" fillId="0" borderId="0" xfId="9" applyFont="1" applyFill="1" applyBorder="1" applyAlignment="1">
      <alignment horizontal="center" vertical="center"/>
    </xf>
    <xf numFmtId="14" fontId="5" fillId="0" borderId="0" xfId="9" applyNumberFormat="1" applyFont="1" applyFill="1" applyAlignment="1">
      <alignment horizontal="center" vertical="center"/>
    </xf>
    <xf numFmtId="0" fontId="5" fillId="0" borderId="0" xfId="9" applyFont="1" applyFill="1" applyAlignment="1">
      <alignment horizontal="left" vertical="center"/>
    </xf>
    <xf numFmtId="10" fontId="5" fillId="0" borderId="0" xfId="9" applyNumberFormat="1" applyFont="1" applyFill="1" applyBorder="1" applyAlignment="1">
      <alignment horizontal="center" vertical="center"/>
    </xf>
    <xf numFmtId="0" fontId="5" fillId="0" borderId="0" xfId="9" applyFont="1" applyFill="1" applyBorder="1" applyAlignment="1">
      <alignment horizontal="center" vertical="center"/>
    </xf>
    <xf numFmtId="10" fontId="5" fillId="7" borderId="7" xfId="1" applyNumberFormat="1" applyFont="1" applyFill="1" applyBorder="1">
      <alignment vertical="center"/>
    </xf>
    <xf numFmtId="0" fontId="21" fillId="7" borderId="0" xfId="0" applyFont="1" applyFill="1">
      <alignment vertical="center"/>
    </xf>
    <xf numFmtId="0" fontId="21" fillId="7" borderId="0" xfId="0" applyFont="1" applyFill="1" applyAlignment="1">
      <alignment horizontal="center" vertical="center"/>
    </xf>
    <xf numFmtId="0" fontId="21" fillId="7" borderId="0" xfId="0" applyFont="1" applyFill="1" applyBorder="1">
      <alignment vertical="center"/>
    </xf>
    <xf numFmtId="14" fontId="5" fillId="0" borderId="0" xfId="0" applyNumberFormat="1" applyFont="1" applyFill="1" applyBorder="1" applyAlignment="1">
      <alignment horizontal="left" vertical="center"/>
    </xf>
    <xf numFmtId="10" fontId="5" fillId="0" borderId="1" xfId="1" applyNumberFormat="1" applyFont="1" applyFill="1" applyBorder="1">
      <alignment vertical="center"/>
    </xf>
    <xf numFmtId="14" fontId="5" fillId="0" borderId="3" xfId="0" applyNumberFormat="1" applyFont="1" applyFill="1" applyBorder="1" applyAlignment="1">
      <alignment horizontal="left" vertical="center"/>
    </xf>
    <xf numFmtId="0" fontId="21" fillId="7" borderId="0" xfId="0" applyFont="1" applyFill="1" applyBorder="1" applyAlignment="1">
      <alignment vertical="center"/>
    </xf>
    <xf numFmtId="10" fontId="5" fillId="0" borderId="12" xfId="0" applyNumberFormat="1" applyFont="1" applyFill="1" applyBorder="1">
      <alignment vertical="center"/>
    </xf>
    <xf numFmtId="0" fontId="5" fillId="0" borderId="13" xfId="0" applyFont="1" applyFill="1" applyBorder="1" applyAlignment="1">
      <alignment vertical="center"/>
    </xf>
    <xf numFmtId="14" fontId="5" fillId="0" borderId="14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14" fontId="5" fillId="0" borderId="22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41" fontId="9" fillId="0" borderId="0" xfId="6" applyFont="1" applyBorder="1" applyAlignment="1">
      <alignment horizontal="center" vertical="center"/>
    </xf>
    <xf numFmtId="178" fontId="10" fillId="0" borderId="0" xfId="5" applyNumberFormat="1" applyFont="1" applyFill="1" applyBorder="1" applyAlignment="1">
      <alignment horizontal="center" vertical="center"/>
    </xf>
    <xf numFmtId="0" fontId="16" fillId="0" borderId="0" xfId="7" applyFont="1" applyFill="1" applyBorder="1" applyAlignment="1">
      <alignment horizontal="center" vertical="center"/>
    </xf>
    <xf numFmtId="0" fontId="16" fillId="0" borderId="0" xfId="7" applyFont="1" applyFill="1" applyBorder="1" applyAlignment="1">
      <alignment horizontal="left" vertical="center"/>
    </xf>
    <xf numFmtId="0" fontId="10" fillId="0" borderId="0" xfId="7" applyFont="1" applyBorder="1" applyAlignment="1">
      <alignment horizontal="center" vertical="center"/>
    </xf>
    <xf numFmtId="41" fontId="9" fillId="0" borderId="7" xfId="1" applyFont="1" applyBorder="1" applyAlignment="1">
      <alignment vertical="center"/>
    </xf>
    <xf numFmtId="178" fontId="10" fillId="0" borderId="2" xfId="5" applyNumberFormat="1" applyFont="1" applyFill="1" applyBorder="1" applyAlignment="1">
      <alignment horizontal="center" vertical="center"/>
    </xf>
    <xf numFmtId="178" fontId="10" fillId="7" borderId="0" xfId="5" applyNumberFormat="1" applyFont="1" applyFill="1" applyBorder="1" applyAlignment="1">
      <alignment horizontal="center" vertical="center"/>
    </xf>
    <xf numFmtId="10" fontId="10" fillId="0" borderId="13" xfId="5" applyNumberFormat="1" applyFont="1" applyFill="1" applyBorder="1" applyAlignment="1">
      <alignment horizontal="center" vertical="center"/>
    </xf>
    <xf numFmtId="41" fontId="23" fillId="0" borderId="7" xfId="1" applyFont="1" applyBorder="1" applyAlignment="1">
      <alignment horizontal="center" vertical="center"/>
    </xf>
    <xf numFmtId="0" fontId="16" fillId="5" borderId="0" xfId="7" applyFont="1" applyFill="1" applyBorder="1" applyAlignment="1">
      <alignment horizontal="center" vertical="center"/>
    </xf>
    <xf numFmtId="177" fontId="5" fillId="0" borderId="23" xfId="0" applyNumberFormat="1" applyFon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41" fontId="5" fillId="0" borderId="6" xfId="1" applyFont="1" applyFill="1" applyBorder="1">
      <alignment vertic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41" fontId="5" fillId="0" borderId="6" xfId="6" applyFont="1" applyFill="1" applyBorder="1">
      <alignment vertical="center"/>
    </xf>
    <xf numFmtId="41" fontId="5" fillId="0" borderId="0" xfId="6" applyFont="1" applyFill="1" applyBorder="1">
      <alignment vertical="center"/>
    </xf>
    <xf numFmtId="0" fontId="22" fillId="0" borderId="0" xfId="0" applyFont="1" applyFill="1" applyAlignment="1">
      <alignment vertical="center"/>
    </xf>
    <xf numFmtId="41" fontId="9" fillId="0" borderId="18" xfId="6" applyFont="1" applyBorder="1" applyAlignment="1">
      <alignment horizontal="center" vertical="center" wrapText="1"/>
    </xf>
    <xf numFmtId="41" fontId="9" fillId="0" borderId="17" xfId="6" applyFont="1" applyBorder="1" applyAlignment="1">
      <alignment horizontal="center" vertical="center" wrapText="1"/>
    </xf>
    <xf numFmtId="0" fontId="10" fillId="0" borderId="14" xfId="7" applyFont="1" applyBorder="1" applyAlignment="1">
      <alignment horizontal="center" vertical="center"/>
    </xf>
    <xf numFmtId="0" fontId="10" fillId="0" borderId="3" xfId="7" applyFont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0" fontId="10" fillId="0" borderId="5" xfId="7" applyFont="1" applyBorder="1" applyAlignment="1">
      <alignment horizontal="center" vertical="center"/>
    </xf>
    <xf numFmtId="41" fontId="9" fillId="0" borderId="10" xfId="6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41" fontId="9" fillId="0" borderId="20" xfId="1" applyFont="1" applyBorder="1" applyAlignment="1">
      <alignment horizontal="center" vertical="center"/>
    </xf>
    <xf numFmtId="41" fontId="9" fillId="0" borderId="19" xfId="1" applyFont="1" applyBorder="1" applyAlignment="1">
      <alignment horizontal="center" vertical="center"/>
    </xf>
    <xf numFmtId="41" fontId="9" fillId="0" borderId="0" xfId="1" applyFont="1" applyBorder="1" applyAlignment="1">
      <alignment horizontal="center" vertical="center"/>
    </xf>
    <xf numFmtId="0" fontId="10" fillId="0" borderId="13" xfId="7" applyFont="1" applyFill="1" applyBorder="1" applyAlignment="1">
      <alignment horizontal="center" vertical="center"/>
    </xf>
    <xf numFmtId="41" fontId="9" fillId="0" borderId="13" xfId="6" applyFont="1" applyBorder="1" applyAlignment="1">
      <alignment horizontal="center" vertical="center" wrapText="1"/>
    </xf>
    <xf numFmtId="41" fontId="9" fillId="0" borderId="0" xfId="6" applyFont="1" applyBorder="1" applyAlignment="1">
      <alignment horizontal="center" vertical="center"/>
    </xf>
    <xf numFmtId="41" fontId="9" fillId="0" borderId="2" xfId="6" applyFont="1" applyBorder="1" applyAlignment="1">
      <alignment horizontal="center" vertical="center"/>
    </xf>
    <xf numFmtId="0" fontId="16" fillId="0" borderId="0" xfId="7" applyFont="1" applyFill="1" applyBorder="1" applyAlignment="1">
      <alignment horizontal="center" vertical="center"/>
    </xf>
    <xf numFmtId="0" fontId="16" fillId="7" borderId="0" xfId="7" applyFont="1" applyFill="1" applyBorder="1" applyAlignment="1">
      <alignment horizontal="center" vertical="center"/>
    </xf>
    <xf numFmtId="0" fontId="16" fillId="0" borderId="2" xfId="7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5" fillId="8" borderId="7" xfId="1" applyFont="1" applyFill="1" applyBorder="1">
      <alignment vertical="center"/>
    </xf>
    <xf numFmtId="49" fontId="5" fillId="0" borderId="24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>
      <alignment vertical="center"/>
    </xf>
  </cellXfs>
  <cellStyles count="10">
    <cellStyle name="강조색6" xfId="3" builtinId="49"/>
    <cellStyle name="백분율 3" xfId="5"/>
    <cellStyle name="보통" xfId="2" builtinId="28"/>
    <cellStyle name="쉼표 [0]" xfId="1" builtinId="6"/>
    <cellStyle name="쉼표 [0] 3 2 2 2" xfId="6"/>
    <cellStyle name="표준" xfId="0" builtinId="0"/>
    <cellStyle name="표준 2 4" xfId="4"/>
    <cellStyle name="표준 2 7 3" xfId="9"/>
    <cellStyle name="표준 3 2 2 2" xfId="7"/>
    <cellStyle name="표준 4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56</xdr:row>
      <xdr:rowOff>30480</xdr:rowOff>
    </xdr:from>
    <xdr:ext cx="72009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0271760"/>
          <a:ext cx="72009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533400</xdr:colOff>
      <xdr:row>63</xdr:row>
      <xdr:rowOff>60960</xdr:rowOff>
    </xdr:from>
    <xdr:ext cx="1452372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582400"/>
          <a:ext cx="1452372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59"/>
  <sheetViews>
    <sheetView zoomScaleNormal="100" workbookViewId="0">
      <pane xSplit="1" ySplit="3" topLeftCell="B31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" style="2" customWidth="1"/>
    <col min="2" max="2" width="13.3984375" style="1" customWidth="1"/>
    <col min="3" max="5" width="11.8984375" style="1" bestFit="1" customWidth="1"/>
    <col min="6" max="6" width="11.8984375" style="1" customWidth="1"/>
    <col min="7" max="7" width="11.8984375" style="1" bestFit="1" customWidth="1"/>
    <col min="8" max="8" width="13.3984375" style="1" customWidth="1"/>
    <col min="9" max="9" width="11.3984375" style="1" bestFit="1" customWidth="1"/>
    <col min="10" max="10" width="11.3984375" style="1" customWidth="1"/>
    <col min="11" max="11" width="14.09765625" style="1" customWidth="1"/>
    <col min="12" max="17" width="13.69921875" style="1" customWidth="1"/>
    <col min="18" max="18" width="11.8984375" style="1" bestFit="1" customWidth="1"/>
    <col min="19" max="19" width="13.69921875" style="1" customWidth="1"/>
    <col min="20" max="16384" width="8.8984375" style="1"/>
  </cols>
  <sheetData>
    <row r="1" spans="1:23" ht="28.5" customHeight="1" x14ac:dyDescent="0.25">
      <c r="A1" s="185"/>
      <c r="B1" s="200" t="s">
        <v>247</v>
      </c>
      <c r="C1" s="200" t="s">
        <v>248</v>
      </c>
      <c r="D1" s="200" t="s">
        <v>249</v>
      </c>
      <c r="E1" s="201" t="s">
        <v>250</v>
      </c>
      <c r="F1" s="185"/>
      <c r="G1" s="185"/>
      <c r="H1" s="185"/>
      <c r="I1" s="185"/>
    </row>
    <row r="2" spans="1:23" x14ac:dyDescent="0.25">
      <c r="H2" s="3"/>
      <c r="I2" s="3"/>
      <c r="M2" s="70">
        <v>1048656659</v>
      </c>
      <c r="N2" s="70">
        <v>119948</v>
      </c>
      <c r="O2" s="69" t="s">
        <v>42</v>
      </c>
      <c r="P2" s="69" t="s">
        <v>289</v>
      </c>
      <c r="Q2" s="69" t="s">
        <v>40</v>
      </c>
      <c r="R2" s="69" t="s">
        <v>290</v>
      </c>
      <c r="S2" s="69" t="s">
        <v>38</v>
      </c>
      <c r="T2" s="69" t="s">
        <v>37</v>
      </c>
      <c r="U2" s="69" t="s">
        <v>36</v>
      </c>
      <c r="W2" s="67"/>
    </row>
    <row r="3" spans="1:23" s="67" customFormat="1" ht="22.5" customHeight="1" x14ac:dyDescent="0.25">
      <c r="A3" s="68" t="s">
        <v>291</v>
      </c>
      <c r="B3" s="68" t="s">
        <v>32</v>
      </c>
      <c r="C3" s="68" t="s">
        <v>292</v>
      </c>
      <c r="D3" s="68" t="s">
        <v>293</v>
      </c>
      <c r="E3" s="68" t="s">
        <v>294</v>
      </c>
      <c r="F3" s="68" t="s">
        <v>295</v>
      </c>
      <c r="G3" s="136" t="s">
        <v>251</v>
      </c>
      <c r="H3" s="226" t="s">
        <v>296</v>
      </c>
      <c r="I3" s="227" t="s">
        <v>297</v>
      </c>
      <c r="J3" s="227" t="s">
        <v>298</v>
      </c>
      <c r="K3" s="227" t="s">
        <v>299</v>
      </c>
      <c r="L3" s="227" t="s">
        <v>300</v>
      </c>
      <c r="M3" s="67" t="s">
        <v>31</v>
      </c>
      <c r="N3" s="67" t="s">
        <v>301</v>
      </c>
      <c r="O3" s="67" t="s">
        <v>29</v>
      </c>
      <c r="P3" s="67" t="s">
        <v>302</v>
      </c>
      <c r="Q3" s="67" t="s">
        <v>303</v>
      </c>
      <c r="R3" s="67" t="s">
        <v>147</v>
      </c>
      <c r="S3" s="67" t="s">
        <v>304</v>
      </c>
      <c r="T3" s="67" t="s">
        <v>25</v>
      </c>
      <c r="U3" s="67" t="s">
        <v>305</v>
      </c>
      <c r="V3" s="67" t="s">
        <v>7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199"/>
      <c r="C36" s="99"/>
      <c r="D36" s="99"/>
      <c r="E36" s="99"/>
      <c r="F36" s="99"/>
      <c r="G36" s="99"/>
      <c r="H36" s="1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</row>
    <row r="37" spans="1:23" x14ac:dyDescent="0.25">
      <c r="A37" s="62" t="s">
        <v>21</v>
      </c>
      <c r="B37" s="61"/>
      <c r="E37" s="3"/>
      <c r="F37" s="3"/>
      <c r="G37" s="3"/>
      <c r="H37" s="61"/>
      <c r="I37" s="3"/>
      <c r="J37" s="3"/>
      <c r="K37" s="3"/>
      <c r="L37" s="3"/>
      <c r="M37" s="3"/>
      <c r="N37" s="3"/>
      <c r="O37" s="3"/>
      <c r="P37" s="3"/>
      <c r="Q37" s="3"/>
    </row>
    <row r="38" spans="1:23" ht="16.2" thickBot="1" x14ac:dyDescent="0.3">
      <c r="A38" s="60"/>
    </row>
    <row r="39" spans="1:23" x14ac:dyDescent="0.25">
      <c r="A39" s="207" t="s">
        <v>20</v>
      </c>
      <c r="B39" s="57" t="s">
        <v>19</v>
      </c>
      <c r="C39" s="59">
        <v>0.16500000000000001</v>
      </c>
      <c r="D39" s="205"/>
      <c r="E39" s="209"/>
      <c r="F39" s="58"/>
      <c r="G39" s="209"/>
      <c r="H39" s="57"/>
      <c r="K39" s="24"/>
      <c r="L39" s="48"/>
      <c r="M39" s="47"/>
      <c r="R39" s="205"/>
    </row>
    <row r="40" spans="1:23" ht="16.2" thickBot="1" x14ac:dyDescent="0.3">
      <c r="A40" s="208"/>
      <c r="B40" s="54" t="s">
        <v>18</v>
      </c>
      <c r="C40" s="56">
        <v>0.17</v>
      </c>
      <c r="D40" s="206"/>
      <c r="E40" s="210"/>
      <c r="F40" s="55"/>
      <c r="G40" s="210"/>
      <c r="H40" s="54"/>
      <c r="K40" s="24"/>
      <c r="L40" s="48"/>
      <c r="M40" s="47"/>
      <c r="R40" s="206"/>
    </row>
    <row r="41" spans="1:23" ht="16.2" thickBot="1" x14ac:dyDescent="0.3">
      <c r="A41" s="53"/>
      <c r="B41" s="52"/>
      <c r="C41" s="51"/>
      <c r="D41" s="46"/>
      <c r="E41" s="50"/>
      <c r="F41" s="50"/>
      <c r="G41" s="50"/>
      <c r="H41" s="49"/>
      <c r="K41" s="24"/>
      <c r="L41" s="48"/>
      <c r="M41" s="47"/>
      <c r="R41" s="46"/>
    </row>
    <row r="42" spans="1:23" x14ac:dyDescent="0.25">
      <c r="A42" s="31" t="s">
        <v>17</v>
      </c>
      <c r="B42" s="45">
        <v>0.17</v>
      </c>
      <c r="C42" s="44" t="s">
        <v>16</v>
      </c>
      <c r="E42" s="43"/>
      <c r="F42" s="42" t="s">
        <v>15</v>
      </c>
      <c r="G42" s="41">
        <f>E35</f>
        <v>0</v>
      </c>
      <c r="H42" s="40" t="s">
        <v>9</v>
      </c>
      <c r="I42" s="39">
        <f>G44</f>
        <v>0</v>
      </c>
      <c r="K42" s="33" t="s">
        <v>14</v>
      </c>
      <c r="L42" s="32">
        <f>E35-B43</f>
        <v>0</v>
      </c>
      <c r="M42" s="32"/>
    </row>
    <row r="43" spans="1:23" x14ac:dyDescent="0.25">
      <c r="A43" s="31" t="s">
        <v>13</v>
      </c>
      <c r="B43" s="38">
        <f>ROUND(B45/1.1,0)</f>
        <v>0</v>
      </c>
      <c r="C43" s="35">
        <v>2638000</v>
      </c>
      <c r="E43" s="34"/>
      <c r="F43" s="13"/>
      <c r="G43" s="12"/>
      <c r="H43" s="23"/>
      <c r="I43" s="10"/>
      <c r="K43" s="33" t="s">
        <v>12</v>
      </c>
      <c r="L43" s="37">
        <f>C35-B45</f>
        <v>0</v>
      </c>
      <c r="M43" s="37"/>
      <c r="R43" s="1" t="s">
        <v>11</v>
      </c>
    </row>
    <row r="44" spans="1:23" x14ac:dyDescent="0.25">
      <c r="A44" s="31" t="s">
        <v>10</v>
      </c>
      <c r="B44" s="36">
        <f>+B45-B43</f>
        <v>0</v>
      </c>
      <c r="C44" s="35">
        <f>C43/10</f>
        <v>263800</v>
      </c>
      <c r="E44" s="34"/>
      <c r="F44" s="13" t="s">
        <v>9</v>
      </c>
      <c r="G44" s="12">
        <f>L42</f>
        <v>0</v>
      </c>
      <c r="H44" s="23" t="s">
        <v>8</v>
      </c>
      <c r="I44" s="10">
        <f>D35</f>
        <v>0</v>
      </c>
      <c r="K44" s="33" t="s">
        <v>1</v>
      </c>
      <c r="L44" s="32">
        <f>B35</f>
        <v>0</v>
      </c>
      <c r="M44" s="32"/>
    </row>
    <row r="45" spans="1:23" x14ac:dyDescent="0.25">
      <c r="A45" s="31" t="s">
        <v>7</v>
      </c>
      <c r="B45" s="30">
        <f>E35*B42</f>
        <v>0</v>
      </c>
      <c r="C45" s="29">
        <f>C44+C43</f>
        <v>2901800</v>
      </c>
      <c r="E45" s="28"/>
      <c r="F45" s="13"/>
      <c r="G45" s="12"/>
      <c r="H45" s="23" t="s">
        <v>6</v>
      </c>
      <c r="I45" s="10">
        <f>B43</f>
        <v>0</v>
      </c>
      <c r="K45" s="24"/>
    </row>
    <row r="46" spans="1:23" s="4" customFormat="1" x14ac:dyDescent="0.25">
      <c r="A46" s="27"/>
      <c r="B46" s="26"/>
      <c r="C46" s="25"/>
      <c r="F46" s="13"/>
      <c r="G46" s="12"/>
      <c r="H46" s="23" t="s">
        <v>5</v>
      </c>
      <c r="I46" s="10">
        <f>B44</f>
        <v>0</v>
      </c>
      <c r="J46" s="1"/>
      <c r="K46" s="24"/>
      <c r="Q46" s="1"/>
    </row>
    <row r="47" spans="1:23" s="4" customFormat="1" x14ac:dyDescent="0.25">
      <c r="A47" s="20" t="s">
        <v>4</v>
      </c>
      <c r="B47" s="3"/>
      <c r="F47" s="13"/>
      <c r="G47" s="12"/>
      <c r="H47" s="23" t="s">
        <v>3</v>
      </c>
      <c r="I47" s="22">
        <f>L43</f>
        <v>0</v>
      </c>
      <c r="J47" s="21"/>
      <c r="K47" s="15"/>
      <c r="Q47" s="1"/>
    </row>
    <row r="48" spans="1:23" s="4" customFormat="1" x14ac:dyDescent="0.25">
      <c r="A48" s="20" t="s">
        <v>2</v>
      </c>
      <c r="B48" s="19"/>
      <c r="C48" s="18"/>
      <c r="D48" s="14"/>
      <c r="E48" s="14"/>
      <c r="F48" s="13"/>
      <c r="G48" s="12"/>
      <c r="H48" s="11" t="s">
        <v>1</v>
      </c>
      <c r="I48" s="10">
        <f>L44</f>
        <v>0</v>
      </c>
      <c r="J48" s="1"/>
      <c r="K48" s="15"/>
      <c r="Q48" s="1"/>
      <c r="R48" s="14"/>
    </row>
    <row r="49" spans="1:18" s="4" customFormat="1" x14ac:dyDescent="0.25">
      <c r="A49" s="14"/>
      <c r="B49" s="17"/>
      <c r="C49" s="16"/>
      <c r="D49" s="14"/>
      <c r="E49" s="14"/>
      <c r="F49" s="13"/>
      <c r="G49" s="12"/>
      <c r="H49" s="11"/>
      <c r="I49" s="10"/>
      <c r="J49" s="1"/>
      <c r="K49" s="15"/>
      <c r="Q49" s="1"/>
      <c r="R49" s="14"/>
    </row>
    <row r="50" spans="1:18" s="4" customFormat="1" x14ac:dyDescent="0.25">
      <c r="A50" s="4" t="s">
        <v>0</v>
      </c>
      <c r="F50" s="13"/>
      <c r="G50" s="12"/>
      <c r="H50" s="11"/>
      <c r="I50" s="10"/>
      <c r="J50" s="1"/>
      <c r="K50" s="9"/>
      <c r="Q50" s="1"/>
    </row>
    <row r="51" spans="1:18" s="4" customFormat="1" ht="16.2" thickBot="1" x14ac:dyDescent="0.3">
      <c r="F51" s="8"/>
      <c r="G51" s="7">
        <f>SUM(G42:G48)</f>
        <v>0</v>
      </c>
      <c r="H51" s="7"/>
      <c r="I51" s="6">
        <f>SUM(I42:I48)</f>
        <v>0</v>
      </c>
      <c r="J51" s="1"/>
      <c r="Q51" s="1"/>
    </row>
    <row r="52" spans="1:18" s="4" customFormat="1" x14ac:dyDescent="0.25">
      <c r="D52" s="5"/>
      <c r="Q52" s="1"/>
      <c r="R52" s="5"/>
    </row>
    <row r="53" spans="1:18" s="4" customFormat="1" x14ac:dyDescent="0.25">
      <c r="D53" s="5"/>
      <c r="Q53" s="1"/>
      <c r="R53" s="5"/>
    </row>
    <row r="54" spans="1:18" s="4" customFormat="1" x14ac:dyDescent="0.25">
      <c r="D54" s="5"/>
      <c r="Q54" s="1"/>
      <c r="R54" s="5"/>
    </row>
    <row r="59" spans="1:18" x14ac:dyDescent="0.25">
      <c r="M59" s="3">
        <f>123727841-123715241</f>
        <v>12600</v>
      </c>
    </row>
  </sheetData>
  <mergeCells count="5">
    <mergeCell ref="R39:R40"/>
    <mergeCell ref="A39:A40"/>
    <mergeCell ref="D39:D40"/>
    <mergeCell ref="E39:E40"/>
    <mergeCell ref="G39:G40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60"/>
  <sheetViews>
    <sheetView zoomScaleNormal="100" workbookViewId="0">
      <pane xSplit="1" ySplit="3" topLeftCell="B28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" style="2" customWidth="1"/>
    <col min="2" max="2" width="12.19921875" style="1" customWidth="1"/>
    <col min="3" max="4" width="11.8984375" style="1" bestFit="1" customWidth="1"/>
    <col min="5" max="5" width="16.796875" style="1" bestFit="1" customWidth="1"/>
    <col min="6" max="6" width="16.796875" style="1" customWidth="1"/>
    <col min="7" max="7" width="16.796875" style="1" bestFit="1" customWidth="1"/>
    <col min="8" max="8" width="12.19921875" style="1" customWidth="1"/>
    <col min="9" max="9" width="11.3984375" style="1" bestFit="1" customWidth="1"/>
    <col min="10" max="10" width="11.3984375" style="1" customWidth="1"/>
    <col min="11" max="11" width="14.09765625" style="1" customWidth="1"/>
    <col min="12" max="13" width="13.69921875" style="1" customWidth="1"/>
    <col min="14" max="14" width="16.796875" style="1" bestFit="1" customWidth="1"/>
    <col min="15" max="17" width="13.69921875" style="1" customWidth="1"/>
    <col min="18" max="18" width="11.8984375" style="1" bestFit="1" customWidth="1"/>
    <col min="19" max="19" width="13.69921875" style="1" customWidth="1"/>
    <col min="20" max="16384" width="8.8984375" style="1"/>
  </cols>
  <sheetData>
    <row r="1" spans="1:23" ht="28.5" customHeight="1" x14ac:dyDescent="0.25">
      <c r="A1" s="185"/>
      <c r="B1" s="200" t="s">
        <v>253</v>
      </c>
      <c r="C1" s="200" t="s">
        <v>254</v>
      </c>
      <c r="D1" s="200" t="s">
        <v>255</v>
      </c>
      <c r="E1" s="201" t="s">
        <v>256</v>
      </c>
      <c r="F1" s="185"/>
      <c r="G1" s="185"/>
      <c r="H1" s="185"/>
      <c r="I1" s="185"/>
      <c r="J1" s="73"/>
    </row>
    <row r="2" spans="1:23" x14ac:dyDescent="0.25">
      <c r="H2" s="3"/>
      <c r="I2" s="3"/>
      <c r="M2" s="70">
        <v>1048656659</v>
      </c>
      <c r="N2" s="70">
        <v>119948</v>
      </c>
      <c r="O2" s="69" t="s">
        <v>307</v>
      </c>
      <c r="P2" s="69" t="s">
        <v>289</v>
      </c>
      <c r="Q2" s="69" t="s">
        <v>308</v>
      </c>
      <c r="R2" s="69" t="s">
        <v>290</v>
      </c>
      <c r="S2" s="69" t="s">
        <v>309</v>
      </c>
      <c r="T2" s="69" t="s">
        <v>310</v>
      </c>
      <c r="U2" s="69" t="s">
        <v>311</v>
      </c>
      <c r="W2" s="67"/>
    </row>
    <row r="3" spans="1:23" s="67" customFormat="1" ht="22.5" customHeight="1" x14ac:dyDescent="0.25">
      <c r="A3" s="68" t="s">
        <v>291</v>
      </c>
      <c r="B3" s="68" t="s">
        <v>312</v>
      </c>
      <c r="C3" s="68" t="s">
        <v>313</v>
      </c>
      <c r="D3" s="68" t="s">
        <v>293</v>
      </c>
      <c r="E3" s="68" t="s">
        <v>314</v>
      </c>
      <c r="F3" s="68" t="s">
        <v>315</v>
      </c>
      <c r="G3" s="136" t="s">
        <v>316</v>
      </c>
      <c r="H3" s="226" t="s">
        <v>317</v>
      </c>
      <c r="I3" s="227" t="s">
        <v>318</v>
      </c>
      <c r="J3" s="227" t="s">
        <v>252</v>
      </c>
      <c r="K3" s="227" t="s">
        <v>319</v>
      </c>
      <c r="L3" s="227" t="s">
        <v>320</v>
      </c>
      <c r="M3" s="67" t="s">
        <v>31</v>
      </c>
      <c r="N3" s="67" t="s">
        <v>321</v>
      </c>
      <c r="O3" s="67" t="s">
        <v>322</v>
      </c>
      <c r="P3" s="67" t="s">
        <v>28</v>
      </c>
      <c r="Q3" s="67" t="s">
        <v>323</v>
      </c>
      <c r="R3" s="67" t="s">
        <v>324</v>
      </c>
      <c r="S3" s="67" t="s">
        <v>325</v>
      </c>
      <c r="T3" s="67" t="s">
        <v>326</v>
      </c>
      <c r="U3" s="67" t="s">
        <v>327</v>
      </c>
      <c r="V3" s="67" t="s">
        <v>7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2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ht="19.95" customHeight="1" x14ac:dyDescent="0.25">
      <c r="A37" s="198"/>
      <c r="B37" s="202"/>
      <c r="C37" s="203"/>
      <c r="D37" s="203"/>
      <c r="E37" s="203"/>
      <c r="F37" s="203"/>
      <c r="G37" s="203"/>
      <c r="H37" s="202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3" x14ac:dyDescent="0.25">
      <c r="A38" s="62" t="s">
        <v>73</v>
      </c>
      <c r="B38" s="61"/>
      <c r="E38" s="3"/>
      <c r="F38" s="3"/>
      <c r="G38" s="3"/>
      <c r="H38" s="61"/>
      <c r="I38" s="3"/>
      <c r="J38" s="3"/>
      <c r="K38" s="3"/>
      <c r="L38" s="3"/>
      <c r="M38" s="3"/>
      <c r="N38" s="3"/>
      <c r="O38" s="3"/>
      <c r="P38" s="3"/>
      <c r="Q38" s="3"/>
    </row>
    <row r="39" spans="1:23" ht="16.2" thickBot="1" x14ac:dyDescent="0.3">
      <c r="A39" s="60"/>
      <c r="B39" s="1" t="s">
        <v>72</v>
      </c>
      <c r="G39" s="98" t="s">
        <v>71</v>
      </c>
      <c r="H39" s="48"/>
    </row>
    <row r="40" spans="1:23" x14ac:dyDescent="0.25">
      <c r="A40" s="207" t="s">
        <v>70</v>
      </c>
      <c r="B40" s="97" t="s">
        <v>69</v>
      </c>
      <c r="C40" s="93">
        <v>0.185</v>
      </c>
      <c r="D40" s="205" t="s">
        <v>66</v>
      </c>
      <c r="E40" s="211" t="s">
        <v>68</v>
      </c>
      <c r="F40" s="207"/>
      <c r="G40" s="96" t="s">
        <v>67</v>
      </c>
      <c r="H40" s="95">
        <v>0.19</v>
      </c>
      <c r="R40" s="205" t="s">
        <v>66</v>
      </c>
    </row>
    <row r="41" spans="1:23" ht="16.2" thickBot="1" x14ac:dyDescent="0.3">
      <c r="A41" s="208"/>
      <c r="B41" s="94" t="s">
        <v>65</v>
      </c>
      <c r="C41" s="93">
        <v>0.19</v>
      </c>
      <c r="D41" s="206"/>
      <c r="E41" s="212"/>
      <c r="F41" s="208"/>
      <c r="G41" s="92" t="s">
        <v>64</v>
      </c>
      <c r="H41" s="91">
        <v>0.19500000000000001</v>
      </c>
      <c r="R41" s="206"/>
    </row>
    <row r="42" spans="1:23" ht="16.2" thickBot="1" x14ac:dyDescent="0.3">
      <c r="A42" s="53"/>
      <c r="B42" s="90" t="s">
        <v>63</v>
      </c>
      <c r="C42" s="46" t="s">
        <v>62</v>
      </c>
      <c r="D42" s="46"/>
      <c r="E42" s="50"/>
      <c r="F42" s="50"/>
      <c r="G42" s="89" t="s">
        <v>61</v>
      </c>
      <c r="H42" s="88"/>
      <c r="M42" s="47"/>
      <c r="R42" s="46"/>
    </row>
    <row r="43" spans="1:23" x14ac:dyDescent="0.25">
      <c r="A43" s="79" t="s">
        <v>60</v>
      </c>
      <c r="B43" s="87">
        <v>0.185</v>
      </c>
      <c r="C43" s="86" t="s">
        <v>59</v>
      </c>
      <c r="D43" s="24"/>
      <c r="E43" s="33" t="s">
        <v>58</v>
      </c>
      <c r="F43" s="81">
        <f>E35-B44</f>
        <v>0</v>
      </c>
      <c r="G43" s="80"/>
      <c r="H43" s="85"/>
      <c r="I43" s="32"/>
      <c r="M43" s="205"/>
      <c r="N43" s="209"/>
      <c r="R43" s="24"/>
    </row>
    <row r="44" spans="1:23" ht="18" thickBot="1" x14ac:dyDescent="0.3">
      <c r="A44" s="79" t="s">
        <v>57</v>
      </c>
      <c r="B44" s="82">
        <f>ROUND(B46/1.1,0)</f>
        <v>0</v>
      </c>
      <c r="C44" s="84">
        <v>12800000</v>
      </c>
      <c r="D44" s="77"/>
      <c r="E44" s="33" t="s">
        <v>46</v>
      </c>
      <c r="F44" s="81">
        <f>C35-B46</f>
        <v>0</v>
      </c>
      <c r="G44" s="80"/>
      <c r="H44" s="34"/>
      <c r="I44" s="32"/>
      <c r="M44" s="206"/>
      <c r="N44" s="210"/>
      <c r="O44" s="83"/>
      <c r="R44" s="77"/>
    </row>
    <row r="45" spans="1:23" ht="16.2" thickBot="1" x14ac:dyDescent="0.3">
      <c r="A45" s="79" t="s">
        <v>56</v>
      </c>
      <c r="B45" s="82">
        <f>+B46-B44</f>
        <v>0</v>
      </c>
      <c r="C45" s="63">
        <f>C44/10</f>
        <v>1280000</v>
      </c>
      <c r="D45" s="77"/>
      <c r="E45" s="33" t="s">
        <v>45</v>
      </c>
      <c r="F45" s="81">
        <f>B35</f>
        <v>0</v>
      </c>
      <c r="G45" s="80"/>
      <c r="H45" s="34"/>
      <c r="I45" s="32"/>
      <c r="J45" s="32"/>
      <c r="K45" s="24"/>
      <c r="L45" s="24"/>
      <c r="M45" s="47"/>
      <c r="R45" s="77"/>
    </row>
    <row r="46" spans="1:23" x14ac:dyDescent="0.25">
      <c r="A46" s="79" t="s">
        <v>55</v>
      </c>
      <c r="B46" s="78">
        <f>E35*B43</f>
        <v>0</v>
      </c>
      <c r="C46" s="63">
        <f>C45+C44</f>
        <v>14080000</v>
      </c>
      <c r="D46" s="77"/>
      <c r="E46" s="33"/>
      <c r="F46" s="42" t="s">
        <v>54</v>
      </c>
      <c r="G46" s="41">
        <f>E35</f>
        <v>0</v>
      </c>
      <c r="H46" s="40" t="s">
        <v>52</v>
      </c>
      <c r="I46" s="39">
        <f>G48</f>
        <v>0</v>
      </c>
      <c r="K46" s="24"/>
      <c r="L46" s="24"/>
      <c r="M46" s="24"/>
      <c r="R46" s="77"/>
    </row>
    <row r="47" spans="1:23" s="4" customFormat="1" x14ac:dyDescent="0.25">
      <c r="A47" s="27"/>
      <c r="B47" s="26"/>
      <c r="F47" s="13"/>
      <c r="G47" s="12"/>
      <c r="H47" s="23"/>
      <c r="I47" s="10"/>
      <c r="J47" s="1"/>
      <c r="K47" s="24"/>
      <c r="Q47" s="1"/>
    </row>
    <row r="48" spans="1:23" s="4" customFormat="1" x14ac:dyDescent="0.25">
      <c r="A48" s="20" t="s">
        <v>53</v>
      </c>
      <c r="B48" s="3"/>
      <c r="F48" s="13" t="s">
        <v>52</v>
      </c>
      <c r="G48" s="12">
        <f>F43</f>
        <v>0</v>
      </c>
      <c r="H48" s="23" t="s">
        <v>51</v>
      </c>
      <c r="I48" s="10">
        <f>D35</f>
        <v>0</v>
      </c>
      <c r="J48" s="1"/>
      <c r="K48" s="15"/>
      <c r="Q48" s="1"/>
    </row>
    <row r="49" spans="1:18" s="4" customFormat="1" x14ac:dyDescent="0.25">
      <c r="A49" s="20" t="s">
        <v>50</v>
      </c>
      <c r="B49" s="19"/>
      <c r="C49" s="18"/>
      <c r="D49" s="14"/>
      <c r="E49" s="14"/>
      <c r="F49" s="13"/>
      <c r="G49" s="12"/>
      <c r="H49" s="23" t="s">
        <v>49</v>
      </c>
      <c r="I49" s="10">
        <f>B44</f>
        <v>0</v>
      </c>
      <c r="J49" s="1"/>
      <c r="K49" s="15"/>
      <c r="Q49" s="1"/>
      <c r="R49" s="14"/>
    </row>
    <row r="50" spans="1:18" s="4" customFormat="1" x14ac:dyDescent="0.25">
      <c r="A50" s="14"/>
      <c r="B50" s="17"/>
      <c r="C50" s="16"/>
      <c r="D50" s="14"/>
      <c r="E50" s="14"/>
      <c r="F50" s="13"/>
      <c r="G50" s="12"/>
      <c r="H50" s="23" t="s">
        <v>48</v>
      </c>
      <c r="I50" s="10">
        <f>B45</f>
        <v>0</v>
      </c>
      <c r="J50" s="1"/>
      <c r="K50" s="15"/>
      <c r="Q50" s="1"/>
      <c r="R50" s="14"/>
    </row>
    <row r="51" spans="1:18" s="4" customFormat="1" ht="17.399999999999999" x14ac:dyDescent="0.25">
      <c r="A51" s="4" t="s">
        <v>47</v>
      </c>
      <c r="F51" s="13"/>
      <c r="G51" s="12"/>
      <c r="H51" s="23" t="s">
        <v>46</v>
      </c>
      <c r="I51" s="22">
        <f>F44</f>
        <v>0</v>
      </c>
      <c r="J51" s="76"/>
      <c r="K51" s="9"/>
      <c r="Q51" s="1"/>
    </row>
    <row r="52" spans="1:18" s="4" customFormat="1" x14ac:dyDescent="0.25">
      <c r="F52" s="13"/>
      <c r="G52" s="12"/>
      <c r="H52" s="11" t="s">
        <v>45</v>
      </c>
      <c r="I52" s="10">
        <f>B35</f>
        <v>0</v>
      </c>
      <c r="J52" s="1"/>
      <c r="Q52" s="1"/>
    </row>
    <row r="53" spans="1:18" s="4" customFormat="1" x14ac:dyDescent="0.25">
      <c r="B53" s="4" t="s">
        <v>44</v>
      </c>
      <c r="C53" s="3">
        <v>80000000</v>
      </c>
      <c r="D53" s="5"/>
      <c r="F53" s="13"/>
      <c r="G53" s="12"/>
      <c r="H53" s="11"/>
      <c r="I53" s="10"/>
      <c r="J53" s="1"/>
      <c r="Q53" s="1"/>
      <c r="R53" s="5"/>
    </row>
    <row r="54" spans="1:18" s="4" customFormat="1" x14ac:dyDescent="0.25">
      <c r="C54" s="75" t="s">
        <v>43</v>
      </c>
      <c r="D54" s="74"/>
      <c r="F54" s="13"/>
      <c r="G54" s="12"/>
      <c r="H54" s="11"/>
      <c r="I54" s="10"/>
      <c r="J54" s="1"/>
      <c r="Q54" s="1"/>
      <c r="R54" s="74"/>
    </row>
    <row r="55" spans="1:18" s="4" customFormat="1" ht="16.2" thickBot="1" x14ac:dyDescent="0.3">
      <c r="D55" s="5"/>
      <c r="F55" s="8"/>
      <c r="G55" s="7">
        <f>SUM(G46:G52)</f>
        <v>0</v>
      </c>
      <c r="H55" s="7"/>
      <c r="I55" s="6">
        <f>SUM(I46:I52)</f>
        <v>0</v>
      </c>
      <c r="J55" s="1"/>
      <c r="Q55" s="1"/>
      <c r="R55" s="5"/>
    </row>
    <row r="60" spans="1:18" x14ac:dyDescent="0.25">
      <c r="M60" s="3">
        <f>123727841-123715241</f>
        <v>12600</v>
      </c>
    </row>
  </sheetData>
  <mergeCells count="7">
    <mergeCell ref="R40:R41"/>
    <mergeCell ref="M43:M44"/>
    <mergeCell ref="N43:N44"/>
    <mergeCell ref="A40:A41"/>
    <mergeCell ref="D40:D41"/>
    <mergeCell ref="E40:E41"/>
    <mergeCell ref="F40:F41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61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" style="2" customWidth="1"/>
    <col min="2" max="2" width="12.796875" style="1" customWidth="1"/>
    <col min="3" max="4" width="11.8984375" style="1" bestFit="1" customWidth="1"/>
    <col min="5" max="5" width="7.796875" style="1" customWidth="1"/>
    <col min="6" max="6" width="7.09765625" style="1" customWidth="1"/>
    <col min="7" max="8" width="11.8984375" style="1" customWidth="1"/>
    <col min="9" max="9" width="11.8984375" style="1" bestFit="1" customWidth="1"/>
    <col min="10" max="10" width="11.8984375" style="1" customWidth="1"/>
    <col min="11" max="12" width="11.8984375" style="1" bestFit="1" customWidth="1"/>
    <col min="13" max="13" width="12.19921875" style="1" bestFit="1" customWidth="1"/>
    <col min="14" max="14" width="11.3984375" style="1" customWidth="1"/>
    <col min="15" max="15" width="14.09765625" style="1" customWidth="1"/>
    <col min="16" max="20" width="13.69921875" style="1" customWidth="1"/>
    <col min="21" max="16384" width="8.8984375" style="1"/>
  </cols>
  <sheetData>
    <row r="1" spans="1:23" ht="28.5" customHeight="1" x14ac:dyDescent="0.25">
      <c r="A1" s="185"/>
      <c r="B1" s="200" t="s">
        <v>257</v>
      </c>
      <c r="C1" s="200" t="s">
        <v>258</v>
      </c>
      <c r="D1" s="200" t="s">
        <v>259</v>
      </c>
      <c r="E1" s="201" t="s">
        <v>260</v>
      </c>
      <c r="F1" s="185"/>
      <c r="G1" s="185"/>
      <c r="H1" s="185"/>
      <c r="I1" s="185"/>
      <c r="J1" s="185"/>
      <c r="K1" s="185"/>
      <c r="L1" s="185"/>
      <c r="M1" s="185"/>
      <c r="N1" s="73"/>
    </row>
    <row r="2" spans="1:23" x14ac:dyDescent="0.25">
      <c r="H2" s="3"/>
      <c r="I2" s="3"/>
      <c r="M2" s="70">
        <v>1048656659</v>
      </c>
      <c r="N2" s="70">
        <v>119948</v>
      </c>
      <c r="O2" s="69" t="s">
        <v>328</v>
      </c>
      <c r="P2" s="69" t="s">
        <v>329</v>
      </c>
      <c r="Q2" s="69" t="s">
        <v>330</v>
      </c>
      <c r="R2" s="69" t="s">
        <v>331</v>
      </c>
      <c r="S2" s="69" t="s">
        <v>332</v>
      </c>
      <c r="T2" s="69" t="s">
        <v>333</v>
      </c>
      <c r="U2" s="69" t="s">
        <v>334</v>
      </c>
      <c r="W2" s="67"/>
    </row>
    <row r="3" spans="1:23" s="67" customFormat="1" ht="22.5" customHeight="1" x14ac:dyDescent="0.25">
      <c r="A3" s="68" t="s">
        <v>335</v>
      </c>
      <c r="B3" s="68" t="s">
        <v>336</v>
      </c>
      <c r="C3" s="68" t="s">
        <v>337</v>
      </c>
      <c r="D3" s="68" t="s">
        <v>338</v>
      </c>
      <c r="E3" s="68" t="s">
        <v>339</v>
      </c>
      <c r="F3" s="68" t="s">
        <v>340</v>
      </c>
      <c r="G3" s="136" t="s">
        <v>341</v>
      </c>
      <c r="H3" s="226" t="s">
        <v>342</v>
      </c>
      <c r="I3" s="227" t="s">
        <v>343</v>
      </c>
      <c r="J3" s="227" t="s">
        <v>344</v>
      </c>
      <c r="K3" s="227" t="s">
        <v>345</v>
      </c>
      <c r="L3" s="227" t="s">
        <v>346</v>
      </c>
      <c r="M3" s="67" t="s">
        <v>347</v>
      </c>
      <c r="N3" s="67" t="s">
        <v>348</v>
      </c>
      <c r="O3" s="67" t="s">
        <v>349</v>
      </c>
      <c r="P3" s="67" t="s">
        <v>350</v>
      </c>
      <c r="Q3" s="67" t="s">
        <v>351</v>
      </c>
      <c r="R3" s="67" t="s">
        <v>352</v>
      </c>
      <c r="S3" s="67" t="s">
        <v>353</v>
      </c>
      <c r="T3" s="67" t="s">
        <v>354</v>
      </c>
      <c r="U3" s="67" t="s">
        <v>355</v>
      </c>
      <c r="V3" s="67" t="s">
        <v>356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x14ac:dyDescent="0.25">
      <c r="A37" s="62" t="s">
        <v>95</v>
      </c>
      <c r="B37" s="61"/>
      <c r="I37" s="3"/>
      <c r="J37" s="3"/>
      <c r="K37" s="3"/>
      <c r="M37" s="3"/>
      <c r="N37" s="3"/>
      <c r="O37" s="3"/>
      <c r="P37" s="3"/>
      <c r="Q37" s="3"/>
      <c r="R37" s="3"/>
      <c r="S37" s="3"/>
      <c r="T37" s="3"/>
    </row>
    <row r="38" spans="1:23" ht="16.2" thickBot="1" x14ac:dyDescent="0.3">
      <c r="A38" s="60"/>
    </row>
    <row r="39" spans="1:23" x14ac:dyDescent="0.25">
      <c r="A39" s="207" t="s">
        <v>94</v>
      </c>
      <c r="B39" s="57" t="s">
        <v>93</v>
      </c>
      <c r="C39" s="59">
        <v>0.16</v>
      </c>
      <c r="D39" s="205"/>
      <c r="E39" s="112"/>
      <c r="F39" s="112"/>
      <c r="G39" s="112"/>
      <c r="H39" s="112"/>
      <c r="I39" s="215"/>
      <c r="J39" s="111"/>
      <c r="K39" s="215"/>
      <c r="L39" s="205"/>
      <c r="O39" s="24"/>
      <c r="P39" s="48"/>
      <c r="Q39" s="47"/>
    </row>
    <row r="40" spans="1:23" x14ac:dyDescent="0.25">
      <c r="A40" s="213"/>
      <c r="B40" s="110" t="s">
        <v>92</v>
      </c>
      <c r="C40" s="109">
        <v>0.17</v>
      </c>
      <c r="D40" s="214"/>
      <c r="E40" s="108"/>
      <c r="F40" s="108"/>
      <c r="G40" s="108"/>
      <c r="H40" s="108"/>
      <c r="I40" s="216"/>
      <c r="J40" s="107"/>
      <c r="K40" s="216"/>
      <c r="L40" s="214"/>
      <c r="O40" s="24"/>
      <c r="P40" s="48"/>
      <c r="Q40" s="47"/>
    </row>
    <row r="41" spans="1:23" ht="16.2" thickBot="1" x14ac:dyDescent="0.3">
      <c r="A41" s="208"/>
      <c r="B41" s="92" t="s">
        <v>91</v>
      </c>
      <c r="C41" s="106">
        <v>0.17</v>
      </c>
      <c r="D41" s="206"/>
      <c r="E41" s="105"/>
      <c r="F41" s="105"/>
      <c r="G41" s="105"/>
      <c r="H41" s="105"/>
      <c r="I41" s="217"/>
      <c r="J41" s="104"/>
      <c r="K41" s="217"/>
      <c r="L41" s="206"/>
      <c r="O41" s="24"/>
      <c r="P41" s="48"/>
      <c r="Q41" s="47"/>
    </row>
    <row r="42" spans="1:23" x14ac:dyDescent="0.25">
      <c r="A42" s="53"/>
      <c r="C42" s="103"/>
      <c r="D42" s="101"/>
      <c r="E42" s="102"/>
      <c r="F42" s="102"/>
      <c r="G42" s="102"/>
      <c r="H42" s="102"/>
      <c r="I42" s="50"/>
      <c r="J42" s="50"/>
      <c r="K42" s="50"/>
      <c r="L42" s="101"/>
      <c r="N42" s="32"/>
      <c r="O42" s="24"/>
      <c r="P42" s="48"/>
      <c r="Q42" s="47"/>
    </row>
    <row r="43" spans="1:23" x14ac:dyDescent="0.25">
      <c r="A43" s="79" t="s">
        <v>90</v>
      </c>
      <c r="B43" s="87">
        <v>0.17</v>
      </c>
      <c r="C43" s="86" t="s">
        <v>89</v>
      </c>
      <c r="D43" s="85"/>
      <c r="E43" s="100" t="s">
        <v>89</v>
      </c>
      <c r="F43" s="100"/>
      <c r="G43" s="100"/>
      <c r="H43" s="100"/>
      <c r="I43" s="100"/>
      <c r="J43" s="100"/>
      <c r="K43" s="100"/>
      <c r="L43" s="85"/>
      <c r="N43" s="37"/>
    </row>
    <row r="44" spans="1:23" x14ac:dyDescent="0.25">
      <c r="A44" s="79" t="s">
        <v>88</v>
      </c>
      <c r="B44" s="82">
        <f>ROUND(B46/1.1,0)</f>
        <v>0</v>
      </c>
      <c r="C44" s="84">
        <v>10618000</v>
      </c>
      <c r="D44" s="34"/>
      <c r="E44" s="12">
        <v>10618000</v>
      </c>
      <c r="F44" s="12"/>
      <c r="G44" s="12"/>
      <c r="H44" s="12"/>
      <c r="I44" s="12"/>
      <c r="J44" s="12"/>
      <c r="K44" s="12"/>
      <c r="L44" s="34"/>
      <c r="N44" s="32"/>
    </row>
    <row r="45" spans="1:23" x14ac:dyDescent="0.25">
      <c r="A45" s="79" t="s">
        <v>87</v>
      </c>
      <c r="B45" s="82">
        <f>+B46-B44</f>
        <v>0</v>
      </c>
      <c r="C45" s="63">
        <f>C44/10</f>
        <v>1061800</v>
      </c>
      <c r="D45" s="34"/>
      <c r="E45" s="99">
        <f>E44/10</f>
        <v>1061800</v>
      </c>
      <c r="F45" s="99"/>
      <c r="G45" s="99"/>
      <c r="H45" s="99"/>
      <c r="I45" s="99"/>
      <c r="J45" s="99"/>
      <c r="K45" s="99"/>
      <c r="L45" s="34"/>
      <c r="N45" s="24"/>
    </row>
    <row r="46" spans="1:23" x14ac:dyDescent="0.25">
      <c r="A46" s="79" t="s">
        <v>86</v>
      </c>
      <c r="B46" s="78">
        <f>I35*B43</f>
        <v>0</v>
      </c>
      <c r="C46" s="63">
        <f>C45+C44</f>
        <v>11679800</v>
      </c>
      <c r="D46" s="28"/>
      <c r="E46" s="99">
        <f>E45+E44</f>
        <v>11679800</v>
      </c>
      <c r="F46" s="99"/>
      <c r="G46" s="99"/>
      <c r="H46" s="99"/>
      <c r="I46" s="99"/>
      <c r="J46" s="99"/>
      <c r="K46" s="99"/>
      <c r="L46" s="28"/>
      <c r="M46" s="24"/>
      <c r="N46" s="24"/>
    </row>
    <row r="47" spans="1:23" s="4" customFormat="1" x14ac:dyDescent="0.25">
      <c r="A47" s="27"/>
      <c r="B47" s="26"/>
      <c r="M47" s="24"/>
      <c r="N47" s="77"/>
      <c r="T47" s="1"/>
    </row>
    <row r="48" spans="1:23" s="4" customFormat="1" x14ac:dyDescent="0.25">
      <c r="A48" s="20" t="s">
        <v>85</v>
      </c>
      <c r="B48" s="3"/>
      <c r="J48" s="33" t="s">
        <v>84</v>
      </c>
      <c r="K48" s="32">
        <f>I35-B44</f>
        <v>0</v>
      </c>
      <c r="L48" s="47"/>
      <c r="M48" s="1"/>
      <c r="N48" s="1"/>
      <c r="T48" s="1"/>
    </row>
    <row r="49" spans="1:20" s="4" customFormat="1" x14ac:dyDescent="0.25">
      <c r="A49" s="20" t="s">
        <v>83</v>
      </c>
      <c r="B49" s="19"/>
      <c r="C49" s="18"/>
      <c r="D49" s="14"/>
      <c r="E49" s="14"/>
      <c r="F49" s="14"/>
      <c r="G49" s="14"/>
      <c r="H49" s="14"/>
      <c r="I49" s="14"/>
      <c r="J49" s="33" t="s">
        <v>75</v>
      </c>
      <c r="K49" s="37">
        <f>C35-B46</f>
        <v>0</v>
      </c>
      <c r="L49" s="47"/>
      <c r="M49" s="1"/>
      <c r="N49" s="1"/>
      <c r="T49" s="1"/>
    </row>
    <row r="50" spans="1:20" s="4" customFormat="1" x14ac:dyDescent="0.25">
      <c r="A50" s="14"/>
      <c r="B50" s="17"/>
      <c r="C50" s="16"/>
      <c r="D50" s="14"/>
      <c r="E50" s="14"/>
      <c r="F50" s="14"/>
      <c r="G50" s="14"/>
      <c r="H50" s="14"/>
      <c r="I50" s="14"/>
      <c r="J50" s="33" t="s">
        <v>74</v>
      </c>
      <c r="K50" s="32">
        <f>B35</f>
        <v>0</v>
      </c>
      <c r="L50" s="47"/>
      <c r="M50" s="1"/>
      <c r="N50" s="1"/>
      <c r="T50" s="1"/>
    </row>
    <row r="51" spans="1:20" s="4" customFormat="1" ht="16.2" thickBot="1" x14ac:dyDescent="0.3">
      <c r="A51" s="4" t="s">
        <v>82</v>
      </c>
      <c r="J51" s="24"/>
      <c r="K51" s="24"/>
      <c r="L51" s="24"/>
      <c r="M51" s="1"/>
      <c r="N51" s="1"/>
      <c r="T51" s="1"/>
    </row>
    <row r="52" spans="1:20" s="4" customFormat="1" x14ac:dyDescent="0.25">
      <c r="J52" s="24"/>
      <c r="K52" s="42" t="s">
        <v>81</v>
      </c>
      <c r="L52" s="41">
        <f>I35</f>
        <v>0</v>
      </c>
      <c r="M52" s="40" t="s">
        <v>79</v>
      </c>
      <c r="N52" s="39">
        <f>L54</f>
        <v>0</v>
      </c>
      <c r="T52" s="1"/>
    </row>
    <row r="53" spans="1:20" s="4" customFormat="1" x14ac:dyDescent="0.25">
      <c r="B53" s="4" t="s">
        <v>80</v>
      </c>
      <c r="D53" s="5"/>
      <c r="E53" s="5"/>
      <c r="F53" s="5"/>
      <c r="G53" s="5"/>
      <c r="H53" s="5"/>
      <c r="J53" s="15"/>
      <c r="K53" s="13"/>
      <c r="L53" s="12"/>
      <c r="M53" s="23"/>
      <c r="N53" s="10"/>
      <c r="T53" s="1"/>
    </row>
    <row r="54" spans="1:20" s="4" customFormat="1" x14ac:dyDescent="0.25">
      <c r="D54" s="5"/>
      <c r="E54" s="5"/>
      <c r="F54" s="5"/>
      <c r="G54" s="5"/>
      <c r="H54" s="5"/>
      <c r="J54" s="15"/>
      <c r="K54" s="13" t="s">
        <v>79</v>
      </c>
      <c r="L54" s="12">
        <f>K48</f>
        <v>0</v>
      </c>
      <c r="M54" s="23" t="s">
        <v>78</v>
      </c>
      <c r="N54" s="10">
        <f>D35</f>
        <v>0</v>
      </c>
      <c r="T54" s="1"/>
    </row>
    <row r="55" spans="1:20" s="4" customFormat="1" x14ac:dyDescent="0.25">
      <c r="D55" s="5"/>
      <c r="E55" s="5"/>
      <c r="F55" s="5"/>
      <c r="G55" s="5"/>
      <c r="H55" s="5"/>
      <c r="J55" s="15"/>
      <c r="K55" s="13"/>
      <c r="L55" s="12"/>
      <c r="M55" s="23" t="s">
        <v>77</v>
      </c>
      <c r="N55" s="10">
        <f>B44</f>
        <v>0</v>
      </c>
      <c r="T55" s="1"/>
    </row>
    <row r="56" spans="1:20" x14ac:dyDescent="0.25">
      <c r="J56" s="9"/>
      <c r="K56" s="13"/>
      <c r="L56" s="12"/>
      <c r="M56" s="23" t="s">
        <v>76</v>
      </c>
      <c r="N56" s="10">
        <f>B45</f>
        <v>0</v>
      </c>
    </row>
    <row r="57" spans="1:20" x14ac:dyDescent="0.25">
      <c r="J57" s="4"/>
      <c r="K57" s="13"/>
      <c r="L57" s="12"/>
      <c r="M57" s="23" t="s">
        <v>75</v>
      </c>
      <c r="N57" s="22">
        <f>K49+M46</f>
        <v>0</v>
      </c>
    </row>
    <row r="58" spans="1:20" x14ac:dyDescent="0.25">
      <c r="J58" s="4"/>
      <c r="K58" s="13"/>
      <c r="L58" s="12"/>
      <c r="M58" s="11" t="s">
        <v>74</v>
      </c>
      <c r="N58" s="10">
        <f>B35</f>
        <v>0</v>
      </c>
    </row>
    <row r="59" spans="1:20" x14ac:dyDescent="0.25">
      <c r="J59" s="4"/>
      <c r="K59" s="13"/>
      <c r="L59" s="12"/>
      <c r="M59" s="11"/>
      <c r="N59" s="10"/>
    </row>
    <row r="60" spans="1:20" x14ac:dyDescent="0.25">
      <c r="J60" s="4"/>
      <c r="K60" s="13"/>
      <c r="L60" s="12"/>
      <c r="M60" s="11"/>
      <c r="N60" s="10"/>
      <c r="Q60" s="3">
        <f>123727841-123715241</f>
        <v>12600</v>
      </c>
    </row>
    <row r="61" spans="1:20" ht="16.2" thickBot="1" x14ac:dyDescent="0.3">
      <c r="K61" s="8"/>
      <c r="L61" s="7">
        <f>SUM(L52:L58)</f>
        <v>0</v>
      </c>
      <c r="M61" s="7"/>
      <c r="N61" s="6">
        <f>SUM(N52:N58)</f>
        <v>0</v>
      </c>
    </row>
  </sheetData>
  <mergeCells count="5">
    <mergeCell ref="A39:A41"/>
    <mergeCell ref="D39:D41"/>
    <mergeCell ref="I39:I41"/>
    <mergeCell ref="K39:K41"/>
    <mergeCell ref="L39:L41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60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E28" sqref="E28"/>
    </sheetView>
  </sheetViews>
  <sheetFormatPr defaultColWidth="8.8984375" defaultRowHeight="15.6" x14ac:dyDescent="0.25"/>
  <cols>
    <col min="1" max="1" width="10" style="2" customWidth="1"/>
    <col min="2" max="2" width="14.3984375" style="1" customWidth="1"/>
    <col min="3" max="3" width="12.69921875" style="1" bestFit="1" customWidth="1"/>
    <col min="4" max="4" width="13.69921875" style="1" bestFit="1" customWidth="1"/>
    <col min="5" max="5" width="11.8984375" style="1" bestFit="1" customWidth="1"/>
    <col min="6" max="6" width="11.8984375" style="1" customWidth="1"/>
    <col min="7" max="7" width="11.8984375" style="1" bestFit="1" customWidth="1"/>
    <col min="8" max="8" width="14.3984375" style="1" customWidth="1"/>
    <col min="9" max="9" width="12.19921875" style="1" bestFit="1" customWidth="1"/>
    <col min="10" max="10" width="11.3984375" style="1" customWidth="1"/>
    <col min="11" max="11" width="14.09765625" style="1" customWidth="1"/>
    <col min="12" max="17" width="13.69921875" style="1" customWidth="1"/>
    <col min="18" max="18" width="13.69921875" style="1" bestFit="1" customWidth="1"/>
    <col min="19" max="19" width="13.69921875" style="1" customWidth="1"/>
    <col min="20" max="16384" width="8.8984375" style="1"/>
  </cols>
  <sheetData>
    <row r="1" spans="1:23" ht="28.5" customHeight="1" x14ac:dyDescent="0.25">
      <c r="A1" s="185"/>
      <c r="B1" s="200" t="s">
        <v>261</v>
      </c>
      <c r="C1" s="200" t="s">
        <v>262</v>
      </c>
      <c r="D1" s="200" t="s">
        <v>263</v>
      </c>
      <c r="E1" s="201" t="s">
        <v>264</v>
      </c>
      <c r="F1" s="185"/>
      <c r="G1" s="185"/>
      <c r="H1" s="185"/>
      <c r="I1" s="185"/>
      <c r="J1" s="73"/>
      <c r="K1" s="72"/>
    </row>
    <row r="2" spans="1:23" x14ac:dyDescent="0.25">
      <c r="H2" s="3"/>
      <c r="I2" s="3"/>
      <c r="M2" s="70">
        <v>1048656659</v>
      </c>
      <c r="N2" s="70">
        <v>119948</v>
      </c>
      <c r="O2" s="69" t="s">
        <v>42</v>
      </c>
      <c r="P2" s="69" t="s">
        <v>41</v>
      </c>
      <c r="Q2" s="69" t="s">
        <v>40</v>
      </c>
      <c r="R2" s="69" t="s">
        <v>39</v>
      </c>
      <c r="S2" s="69" t="s">
        <v>38</v>
      </c>
      <c r="T2" s="69" t="s">
        <v>37</v>
      </c>
      <c r="U2" s="69" t="s">
        <v>357</v>
      </c>
      <c r="W2" s="67"/>
    </row>
    <row r="3" spans="1:23" s="67" customFormat="1" ht="22.5" customHeight="1" x14ac:dyDescent="0.25">
      <c r="A3" s="68" t="s">
        <v>358</v>
      </c>
      <c r="B3" s="68" t="s">
        <v>359</v>
      </c>
      <c r="C3" s="68" t="s">
        <v>360</v>
      </c>
      <c r="D3" s="68" t="s">
        <v>34</v>
      </c>
      <c r="E3" s="68" t="s">
        <v>23</v>
      </c>
      <c r="F3" s="68" t="s">
        <v>33</v>
      </c>
      <c r="G3" s="136" t="s">
        <v>251</v>
      </c>
      <c r="H3" s="226" t="s">
        <v>317</v>
      </c>
      <c r="I3" s="227" t="s">
        <v>297</v>
      </c>
      <c r="J3" s="227" t="s">
        <v>252</v>
      </c>
      <c r="K3" s="227" t="s">
        <v>361</v>
      </c>
      <c r="L3" s="227" t="s">
        <v>300</v>
      </c>
      <c r="M3" s="67" t="s">
        <v>362</v>
      </c>
      <c r="N3" s="67" t="s">
        <v>30</v>
      </c>
      <c r="O3" s="67" t="s">
        <v>363</v>
      </c>
      <c r="P3" s="67" t="s">
        <v>28</v>
      </c>
      <c r="Q3" s="67" t="s">
        <v>27</v>
      </c>
      <c r="R3" s="67" t="s">
        <v>147</v>
      </c>
      <c r="S3" s="67" t="s">
        <v>26</v>
      </c>
      <c r="T3" s="67" t="s">
        <v>326</v>
      </c>
      <c r="U3" s="67" t="s">
        <v>24</v>
      </c>
      <c r="V3" s="67" t="s">
        <v>7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2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x14ac:dyDescent="0.25">
      <c r="A37" s="62" t="s">
        <v>119</v>
      </c>
      <c r="B37" s="61"/>
      <c r="E37" s="3"/>
      <c r="F37" s="3"/>
      <c r="G37" s="3"/>
      <c r="H37" s="61"/>
      <c r="I37" s="3"/>
      <c r="J37" s="3"/>
      <c r="K37" s="3"/>
      <c r="L37" s="3"/>
      <c r="M37" s="3"/>
      <c r="N37" s="3"/>
      <c r="O37" s="3"/>
      <c r="P37" s="3"/>
      <c r="Q37" s="3"/>
    </row>
    <row r="38" spans="1:23" ht="16.2" thickBot="1" x14ac:dyDescent="0.3">
      <c r="A38" s="60"/>
    </row>
    <row r="39" spans="1:23" x14ac:dyDescent="0.25">
      <c r="A39" s="207" t="s">
        <v>118</v>
      </c>
      <c r="B39" s="57" t="s">
        <v>117</v>
      </c>
      <c r="C39" s="59">
        <v>0.17</v>
      </c>
      <c r="D39" s="205"/>
      <c r="E39" s="218"/>
      <c r="F39" s="117"/>
      <c r="G39" s="218"/>
      <c r="H39" s="42" t="s">
        <v>116</v>
      </c>
      <c r="I39" s="41">
        <f>E35</f>
        <v>0</v>
      </c>
      <c r="J39" s="40" t="s">
        <v>115</v>
      </c>
      <c r="K39" s="39">
        <f>I41</f>
        <v>0</v>
      </c>
      <c r="L39" s="48"/>
      <c r="M39" s="47"/>
      <c r="R39" s="205"/>
    </row>
    <row r="40" spans="1:23" x14ac:dyDescent="0.25">
      <c r="A40" s="213"/>
      <c r="B40" s="110" t="s">
        <v>114</v>
      </c>
      <c r="C40" s="109">
        <v>0.18</v>
      </c>
      <c r="D40" s="214"/>
      <c r="E40" s="218"/>
      <c r="F40" s="117"/>
      <c r="G40" s="218"/>
      <c r="H40" s="13"/>
      <c r="I40" s="12"/>
      <c r="J40" s="23"/>
      <c r="K40" s="10"/>
      <c r="L40" s="48"/>
      <c r="M40" s="47"/>
      <c r="R40" s="214"/>
    </row>
    <row r="41" spans="1:23" ht="16.2" thickBot="1" x14ac:dyDescent="0.3">
      <c r="A41" s="208"/>
      <c r="B41" s="92" t="s">
        <v>113</v>
      </c>
      <c r="C41" s="106">
        <v>0.18</v>
      </c>
      <c r="D41" s="206"/>
      <c r="E41" s="218"/>
      <c r="F41" s="117"/>
      <c r="G41" s="218"/>
      <c r="H41" s="13" t="s">
        <v>112</v>
      </c>
      <c r="I41" s="12">
        <f>G44</f>
        <v>0</v>
      </c>
      <c r="J41" s="23" t="s">
        <v>111</v>
      </c>
      <c r="K41" s="10">
        <f>D35</f>
        <v>0</v>
      </c>
      <c r="L41" s="48"/>
      <c r="M41" s="47"/>
      <c r="R41" s="206"/>
    </row>
    <row r="42" spans="1:23" x14ac:dyDescent="0.25">
      <c r="A42" s="53"/>
      <c r="B42" s="2"/>
      <c r="C42" s="103" t="s">
        <v>110</v>
      </c>
      <c r="D42" s="116"/>
      <c r="E42" s="50"/>
      <c r="F42" s="50"/>
      <c r="G42" s="50"/>
      <c r="H42" s="13"/>
      <c r="I42" s="12"/>
      <c r="J42" s="23" t="s">
        <v>109</v>
      </c>
      <c r="K42" s="10">
        <f>B44</f>
        <v>0</v>
      </c>
      <c r="R42" s="116"/>
    </row>
    <row r="43" spans="1:23" x14ac:dyDescent="0.25">
      <c r="A43" s="79" t="s">
        <v>108</v>
      </c>
      <c r="B43" s="87">
        <v>0.18</v>
      </c>
      <c r="C43" s="86" t="s">
        <v>107</v>
      </c>
      <c r="D43" s="115"/>
      <c r="F43" s="32"/>
      <c r="G43" s="24"/>
      <c r="H43" s="13"/>
      <c r="I43" s="12"/>
      <c r="J43" s="23" t="s">
        <v>106</v>
      </c>
      <c r="K43" s="10">
        <f>B45</f>
        <v>0</v>
      </c>
      <c r="R43" s="87"/>
    </row>
    <row r="44" spans="1:23" x14ac:dyDescent="0.25">
      <c r="A44" s="79" t="s">
        <v>105</v>
      </c>
      <c r="B44" s="82">
        <f>ROUND(B46/1.1,0)</f>
        <v>0</v>
      </c>
      <c r="C44" s="84">
        <v>13644000</v>
      </c>
      <c r="D44" s="114"/>
      <c r="F44" s="33" t="s">
        <v>104</v>
      </c>
      <c r="G44" s="32">
        <f>E35-B44-D44</f>
        <v>0</v>
      </c>
      <c r="H44" s="13"/>
      <c r="I44" s="12"/>
      <c r="J44" s="23" t="s">
        <v>102</v>
      </c>
      <c r="K44" s="22">
        <f>G45+E47</f>
        <v>0</v>
      </c>
      <c r="R44" s="82"/>
    </row>
    <row r="45" spans="1:23" x14ac:dyDescent="0.25">
      <c r="A45" s="79" t="s">
        <v>103</v>
      </c>
      <c r="B45" s="82">
        <f>+B46-B44</f>
        <v>0</v>
      </c>
      <c r="C45" s="63">
        <f>C44/10</f>
        <v>1364400</v>
      </c>
      <c r="D45" s="114"/>
      <c r="F45" s="33" t="s">
        <v>102</v>
      </c>
      <c r="G45" s="37">
        <f>C35-B46-D46</f>
        <v>0</v>
      </c>
      <c r="H45" s="13"/>
      <c r="I45" s="12"/>
      <c r="J45" s="11" t="s">
        <v>100</v>
      </c>
      <c r="K45" s="10">
        <f>G46</f>
        <v>0</v>
      </c>
      <c r="R45" s="82"/>
    </row>
    <row r="46" spans="1:23" x14ac:dyDescent="0.25">
      <c r="A46" s="79" t="s">
        <v>101</v>
      </c>
      <c r="B46" s="78">
        <f>E35*B43</f>
        <v>0</v>
      </c>
      <c r="C46" s="63">
        <f>C45+C44</f>
        <v>15008400</v>
      </c>
      <c r="D46" s="113"/>
      <c r="F46" s="33" t="s">
        <v>100</v>
      </c>
      <c r="G46" s="32">
        <f>B35</f>
        <v>0</v>
      </c>
      <c r="H46" s="13"/>
      <c r="I46" s="12"/>
      <c r="J46" s="11"/>
      <c r="K46" s="10"/>
      <c r="R46" s="78"/>
    </row>
    <row r="47" spans="1:23" s="4" customFormat="1" x14ac:dyDescent="0.25">
      <c r="A47" s="27"/>
      <c r="B47" s="26"/>
      <c r="C47" s="3">
        <f>C44/31*8</f>
        <v>3521032.2580645164</v>
      </c>
      <c r="D47" s="3">
        <f>D44/31*23</f>
        <v>0</v>
      </c>
      <c r="E47" s="24"/>
      <c r="F47" s="24"/>
      <c r="G47" s="24"/>
      <c r="H47" s="13"/>
      <c r="I47" s="12"/>
      <c r="J47" s="11"/>
      <c r="K47" s="10"/>
      <c r="L47" s="1"/>
      <c r="Q47" s="1"/>
      <c r="R47" s="3">
        <f>R44/31*23</f>
        <v>0</v>
      </c>
    </row>
    <row r="48" spans="1:23" s="4" customFormat="1" ht="16.2" thickBot="1" x14ac:dyDescent="0.3">
      <c r="A48" s="20" t="s">
        <v>99</v>
      </c>
      <c r="B48" s="3"/>
      <c r="E48" s="24"/>
      <c r="F48" s="77"/>
      <c r="G48" s="24"/>
      <c r="H48" s="8"/>
      <c r="I48" s="7">
        <f>SUM(I39:I45)</f>
        <v>0</v>
      </c>
      <c r="J48" s="7"/>
      <c r="K48" s="6">
        <f>SUM(K39:K45)</f>
        <v>0</v>
      </c>
      <c r="L48" s="1"/>
      <c r="Q48" s="1"/>
    </row>
    <row r="49" spans="1:18" s="4" customFormat="1" x14ac:dyDescent="0.25">
      <c r="A49" s="20" t="s">
        <v>98</v>
      </c>
      <c r="B49" s="19"/>
      <c r="C49" s="18"/>
      <c r="D49" s="14"/>
      <c r="E49" s="77"/>
      <c r="F49" s="77"/>
      <c r="G49" s="15"/>
      <c r="L49" s="1"/>
      <c r="Q49" s="1"/>
      <c r="R49" s="14"/>
    </row>
    <row r="50" spans="1:18" s="4" customFormat="1" x14ac:dyDescent="0.25">
      <c r="A50" s="14"/>
      <c r="B50" s="17"/>
      <c r="C50" s="16"/>
      <c r="D50" s="14"/>
      <c r="E50" s="77"/>
      <c r="F50" s="77"/>
      <c r="G50" s="15"/>
      <c r="L50" s="1"/>
      <c r="Q50" s="1"/>
      <c r="R50" s="14"/>
    </row>
    <row r="51" spans="1:18" s="4" customFormat="1" x14ac:dyDescent="0.25">
      <c r="A51" s="4" t="s">
        <v>97</v>
      </c>
      <c r="E51" s="77"/>
      <c r="F51" s="9"/>
      <c r="G51" s="15"/>
      <c r="L51" s="1"/>
      <c r="Q51" s="1"/>
    </row>
    <row r="52" spans="1:18" s="4" customFormat="1" x14ac:dyDescent="0.25">
      <c r="E52" s="9"/>
      <c r="G52" s="9"/>
      <c r="L52" s="1"/>
      <c r="Q52" s="1"/>
    </row>
    <row r="53" spans="1:18" s="4" customFormat="1" x14ac:dyDescent="0.25">
      <c r="B53" s="4" t="s">
        <v>96</v>
      </c>
      <c r="D53" s="5"/>
      <c r="L53" s="1"/>
      <c r="Q53" s="1"/>
      <c r="R53" s="5"/>
    </row>
    <row r="54" spans="1:18" s="4" customFormat="1" x14ac:dyDescent="0.25">
      <c r="D54" s="5"/>
      <c r="L54" s="1"/>
      <c r="Q54" s="1"/>
      <c r="R54" s="5"/>
    </row>
    <row r="55" spans="1:18" s="4" customFormat="1" x14ac:dyDescent="0.25">
      <c r="D55" s="5"/>
      <c r="L55" s="1"/>
      <c r="Q55" s="1"/>
      <c r="R55" s="5"/>
    </row>
    <row r="56" spans="1:18" x14ac:dyDescent="0.25">
      <c r="E56" s="4"/>
      <c r="G56" s="4"/>
    </row>
    <row r="60" spans="1:18" x14ac:dyDescent="0.25">
      <c r="M60" s="3">
        <f>123727841-123715241</f>
        <v>12600</v>
      </c>
    </row>
  </sheetData>
  <mergeCells count="5">
    <mergeCell ref="R39:R41"/>
    <mergeCell ref="A39:A41"/>
    <mergeCell ref="D39:D41"/>
    <mergeCell ref="E39:E41"/>
    <mergeCell ref="G39:G41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57"/>
  <sheetViews>
    <sheetView zoomScaleNormal="100" workbookViewId="0">
      <pane xSplit="1" ySplit="3" topLeftCell="H22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.69921875" style="2" customWidth="1"/>
    <col min="2" max="2" width="12.3984375" style="1" customWidth="1"/>
    <col min="3" max="3" width="14" style="1" customWidth="1"/>
    <col min="4" max="4" width="12.3984375" style="1" customWidth="1"/>
    <col min="5" max="7" width="12.8984375" style="1" customWidth="1"/>
    <col min="8" max="8" width="11.8984375" style="1" customWidth="1"/>
    <col min="9" max="9" width="13.69921875" style="1" customWidth="1"/>
    <col min="10" max="10" width="11.3984375" style="1" customWidth="1"/>
    <col min="11" max="13" width="13.69921875" style="1" customWidth="1"/>
    <col min="14" max="14" width="14.8984375" style="1" customWidth="1"/>
    <col min="15" max="17" width="13.69921875" style="1" customWidth="1"/>
    <col min="18" max="18" width="12.3984375" style="1" customWidth="1"/>
    <col min="19" max="19" width="13.69921875" style="1" customWidth="1"/>
    <col min="20" max="20" width="8.8984375" style="1"/>
    <col min="21" max="21" width="11" style="1" bestFit="1" customWidth="1"/>
    <col min="22" max="16384" width="8.8984375" style="1"/>
  </cols>
  <sheetData>
    <row r="1" spans="1:23" ht="28.5" customHeight="1" x14ac:dyDescent="0.25">
      <c r="A1" s="185"/>
      <c r="B1" s="200" t="s">
        <v>265</v>
      </c>
      <c r="C1" s="200" t="s">
        <v>266</v>
      </c>
      <c r="D1" s="200" t="s">
        <v>267</v>
      </c>
      <c r="E1" s="201" t="s">
        <v>268</v>
      </c>
      <c r="F1" s="185"/>
      <c r="G1" s="185"/>
      <c r="H1" s="185"/>
      <c r="I1" s="185"/>
      <c r="N1" s="185"/>
      <c r="O1" s="185"/>
      <c r="P1" s="185"/>
      <c r="Q1" s="185"/>
      <c r="R1" s="185"/>
      <c r="S1" s="185"/>
    </row>
    <row r="2" spans="1:23" x14ac:dyDescent="0.25">
      <c r="H2" s="3"/>
      <c r="I2" s="3"/>
      <c r="M2" s="70">
        <v>1048656659</v>
      </c>
      <c r="N2" s="70">
        <v>119948</v>
      </c>
      <c r="O2" s="69" t="s">
        <v>42</v>
      </c>
      <c r="P2" s="69" t="s">
        <v>41</v>
      </c>
      <c r="Q2" s="69" t="s">
        <v>40</v>
      </c>
      <c r="R2" s="69" t="s">
        <v>39</v>
      </c>
      <c r="S2" s="69" t="s">
        <v>309</v>
      </c>
      <c r="T2" s="69" t="s">
        <v>37</v>
      </c>
      <c r="U2" s="69" t="s">
        <v>36</v>
      </c>
      <c r="W2" s="67"/>
    </row>
    <row r="3" spans="1:23" s="67" customFormat="1" ht="22.5" customHeight="1" x14ac:dyDescent="0.25">
      <c r="A3" s="68" t="s">
        <v>35</v>
      </c>
      <c r="B3" s="68" t="s">
        <v>32</v>
      </c>
      <c r="C3" s="68" t="s">
        <v>360</v>
      </c>
      <c r="D3" s="68" t="s">
        <v>34</v>
      </c>
      <c r="E3" s="68" t="s">
        <v>23</v>
      </c>
      <c r="F3" s="68" t="s">
        <v>364</v>
      </c>
      <c r="G3" s="136" t="s">
        <v>251</v>
      </c>
      <c r="H3" s="226" t="s">
        <v>317</v>
      </c>
      <c r="I3" s="227" t="s">
        <v>297</v>
      </c>
      <c r="J3" s="227" t="s">
        <v>252</v>
      </c>
      <c r="K3" s="227" t="s">
        <v>299</v>
      </c>
      <c r="L3" s="227" t="s">
        <v>300</v>
      </c>
      <c r="M3" s="67" t="s">
        <v>31</v>
      </c>
      <c r="N3" s="67" t="s">
        <v>30</v>
      </c>
      <c r="O3" s="67" t="s">
        <v>365</v>
      </c>
      <c r="P3" s="67" t="s">
        <v>28</v>
      </c>
      <c r="Q3" s="67" t="s">
        <v>27</v>
      </c>
      <c r="R3" s="67" t="s">
        <v>147</v>
      </c>
      <c r="S3" s="67" t="s">
        <v>26</v>
      </c>
      <c r="T3" s="67" t="s">
        <v>25</v>
      </c>
      <c r="U3" s="67" t="s">
        <v>24</v>
      </c>
      <c r="V3" s="67" t="s">
        <v>7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ht="19.95" customHeight="1" x14ac:dyDescent="0.25">
      <c r="A37" s="198"/>
      <c r="B37" s="202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3" x14ac:dyDescent="0.25">
      <c r="A38" s="62" t="s">
        <v>146</v>
      </c>
      <c r="B38" s="61"/>
      <c r="I38" s="3"/>
      <c r="J38" s="3"/>
      <c r="K38" s="3"/>
      <c r="L38" s="3"/>
      <c r="M38" s="3"/>
      <c r="N38" s="3"/>
      <c r="O38" s="3"/>
      <c r="P38" s="3"/>
      <c r="Q38" s="3"/>
      <c r="S38" s="3"/>
    </row>
    <row r="39" spans="1:23" x14ac:dyDescent="0.25">
      <c r="A39" s="135" t="s">
        <v>145</v>
      </c>
      <c r="C39" s="3" t="s">
        <v>144</v>
      </c>
      <c r="E39" s="3"/>
      <c r="F39" s="3"/>
      <c r="G39" s="3"/>
    </row>
    <row r="40" spans="1:23" ht="16.2" thickBot="1" x14ac:dyDescent="0.3">
      <c r="A40" s="79" t="s">
        <v>143</v>
      </c>
      <c r="B40" s="134">
        <v>9.5000000000000001E-2</v>
      </c>
      <c r="C40" s="133" t="s">
        <v>142</v>
      </c>
    </row>
    <row r="41" spans="1:23" x14ac:dyDescent="0.25">
      <c r="A41" s="79" t="s">
        <v>141</v>
      </c>
      <c r="B41" s="65">
        <f>(L41+L44)*B40</f>
        <v>11991383.550000001</v>
      </c>
      <c r="C41" s="132">
        <v>17000000</v>
      </c>
      <c r="D41" s="3"/>
      <c r="F41" s="42" t="s">
        <v>140</v>
      </c>
      <c r="G41" s="41">
        <f>+E35</f>
        <v>0</v>
      </c>
      <c r="H41" s="40" t="s">
        <v>137</v>
      </c>
      <c r="I41" s="39">
        <f>+B45</f>
        <v>-17000000</v>
      </c>
      <c r="J41" s="66"/>
      <c r="K41" s="1" t="s">
        <v>139</v>
      </c>
      <c r="L41" s="3">
        <f>L43-L42</f>
        <v>73944577</v>
      </c>
      <c r="N41" s="128" t="s">
        <v>138</v>
      </c>
    </row>
    <row r="42" spans="1:23" x14ac:dyDescent="0.25">
      <c r="A42" s="79" t="s">
        <v>103</v>
      </c>
      <c r="B42" s="65">
        <f>+B41*0.1</f>
        <v>1199138.3550000002</v>
      </c>
      <c r="C42" s="130">
        <v>1700000</v>
      </c>
      <c r="D42" s="3"/>
      <c r="F42" s="13" t="s">
        <v>137</v>
      </c>
      <c r="G42" s="12">
        <f>+B45</f>
        <v>-17000000</v>
      </c>
      <c r="H42" s="23" t="s">
        <v>8</v>
      </c>
      <c r="I42" s="10">
        <f>B46</f>
        <v>0</v>
      </c>
      <c r="K42" s="1" t="s">
        <v>136</v>
      </c>
      <c r="L42" s="131">
        <v>7394514</v>
      </c>
      <c r="M42" s="3"/>
      <c r="N42" s="128" t="s">
        <v>135</v>
      </c>
    </row>
    <row r="43" spans="1:23" x14ac:dyDescent="0.25">
      <c r="A43" s="79" t="s">
        <v>22</v>
      </c>
      <c r="B43" s="63">
        <f>+B41+B42</f>
        <v>13190521.905000001</v>
      </c>
      <c r="C43" s="130">
        <f>SUM(C41:C42)</f>
        <v>18700000</v>
      </c>
      <c r="D43" s="3"/>
      <c r="F43" s="13"/>
      <c r="G43" s="12"/>
      <c r="H43" s="23" t="s">
        <v>134</v>
      </c>
      <c r="I43" s="10">
        <f>C41</f>
        <v>17000000</v>
      </c>
      <c r="K43" s="1" t="s">
        <v>133</v>
      </c>
      <c r="L43" s="3">
        <v>81339091</v>
      </c>
      <c r="M43" s="3"/>
      <c r="N43" s="128" t="s">
        <v>132</v>
      </c>
    </row>
    <row r="44" spans="1:23" ht="17.399999999999999" x14ac:dyDescent="0.25">
      <c r="A44" s="129"/>
      <c r="E44" s="32"/>
      <c r="F44" s="13"/>
      <c r="G44" s="12"/>
      <c r="H44" s="23" t="s">
        <v>131</v>
      </c>
      <c r="I44" s="10">
        <f>C42</f>
        <v>1700000</v>
      </c>
      <c r="K44" s="1" t="s">
        <v>130</v>
      </c>
      <c r="L44" s="3">
        <v>52280513</v>
      </c>
      <c r="M44" s="3"/>
      <c r="N44" s="128" t="s">
        <v>129</v>
      </c>
    </row>
    <row r="45" spans="1:23" x14ac:dyDescent="0.25">
      <c r="A45" s="2" t="s">
        <v>128</v>
      </c>
      <c r="B45" s="32">
        <f>E35-C41</f>
        <v>-17000000</v>
      </c>
      <c r="E45" s="37"/>
      <c r="F45" s="124"/>
      <c r="G45" s="80"/>
      <c r="H45" s="126" t="s">
        <v>127</v>
      </c>
      <c r="I45" s="125">
        <f>+B47</f>
        <v>-18700000</v>
      </c>
      <c r="K45" s="1" t="s">
        <v>126</v>
      </c>
      <c r="L45" s="3">
        <v>133939816</v>
      </c>
      <c r="N45" s="128" t="s">
        <v>125</v>
      </c>
    </row>
    <row r="46" spans="1:23" x14ac:dyDescent="0.25">
      <c r="A46" s="2" t="s">
        <v>124</v>
      </c>
      <c r="B46" s="32">
        <f>D35</f>
        <v>0</v>
      </c>
      <c r="E46" s="32"/>
      <c r="F46" s="124"/>
      <c r="G46" s="80"/>
      <c r="H46" s="123" t="s">
        <v>123</v>
      </c>
      <c r="I46" s="10">
        <f>+B35</f>
        <v>0</v>
      </c>
    </row>
    <row r="47" spans="1:23" s="4" customFormat="1" x14ac:dyDescent="0.25">
      <c r="A47" s="2" t="s">
        <v>122</v>
      </c>
      <c r="B47" s="32">
        <f>C35-C43</f>
        <v>-18700000</v>
      </c>
      <c r="C47" s="1"/>
      <c r="D47" s="1"/>
      <c r="E47" s="24"/>
      <c r="F47" s="13"/>
      <c r="G47" s="12">
        <f>SUM(G41:G46)</f>
        <v>-17000000</v>
      </c>
      <c r="H47" s="12"/>
      <c r="I47" s="122">
        <f>SUM(I41:I46)</f>
        <v>-17000000</v>
      </c>
      <c r="J47" s="24"/>
      <c r="K47" s="1"/>
      <c r="L47" s="1"/>
      <c r="M47" s="1"/>
      <c r="N47" s="1"/>
    </row>
    <row r="48" spans="1:23" s="4" customFormat="1" ht="16.2" thickBot="1" x14ac:dyDescent="0.3">
      <c r="A48" s="27"/>
      <c r="B48" s="26"/>
      <c r="E48" s="24"/>
      <c r="F48" s="121"/>
      <c r="G48" s="120"/>
      <c r="H48" s="119"/>
      <c r="I48" s="118"/>
      <c r="J48" s="24"/>
      <c r="K48" s="24"/>
      <c r="L48" s="24"/>
      <c r="M48" s="1"/>
    </row>
    <row r="49" spans="1:18" s="4" customFormat="1" x14ac:dyDescent="0.25">
      <c r="A49" s="20" t="s">
        <v>121</v>
      </c>
      <c r="B49" s="3"/>
      <c r="E49" s="77"/>
      <c r="F49" s="77"/>
      <c r="G49" s="15"/>
      <c r="H49" s="9"/>
    </row>
    <row r="50" spans="1:18" s="4" customFormat="1" x14ac:dyDescent="0.25">
      <c r="A50" s="4" t="s">
        <v>120</v>
      </c>
      <c r="B50" s="19"/>
      <c r="C50" s="18"/>
      <c r="D50" s="18"/>
      <c r="E50" s="77"/>
      <c r="F50" s="77"/>
      <c r="G50" s="15"/>
      <c r="H50" s="9"/>
      <c r="P50" s="3"/>
      <c r="R50" s="18"/>
    </row>
    <row r="51" spans="1:18" s="4" customFormat="1" x14ac:dyDescent="0.25">
      <c r="A51" s="14"/>
      <c r="B51" s="17"/>
      <c r="C51" s="16"/>
      <c r="D51" s="16"/>
      <c r="E51" s="14"/>
      <c r="F51" s="14"/>
      <c r="G51" s="14"/>
      <c r="H51" s="3"/>
      <c r="J51" s="9"/>
      <c r="K51" s="13"/>
      <c r="L51" s="12"/>
      <c r="M51" s="23"/>
      <c r="N51" s="10"/>
      <c r="O51" s="1"/>
      <c r="P51" s="1"/>
      <c r="Q51" s="1"/>
      <c r="R51" s="16"/>
    </row>
    <row r="52" spans="1:18" s="4" customFormat="1" x14ac:dyDescent="0.25">
      <c r="H52" s="3"/>
      <c r="I52" s="127"/>
      <c r="K52" s="13"/>
      <c r="L52" s="12"/>
      <c r="M52" s="23"/>
      <c r="N52" s="10"/>
      <c r="O52" s="32"/>
      <c r="P52" s="1"/>
      <c r="Q52" s="1"/>
    </row>
    <row r="53" spans="1:18" s="4" customFormat="1" x14ac:dyDescent="0.25">
      <c r="H53" s="3"/>
      <c r="K53" s="13"/>
      <c r="L53" s="12"/>
      <c r="M53" s="23"/>
      <c r="N53" s="10"/>
      <c r="O53" s="1"/>
      <c r="P53" s="1"/>
      <c r="Q53" s="1"/>
    </row>
    <row r="54" spans="1:18" x14ac:dyDescent="0.25">
      <c r="A54" s="4"/>
      <c r="B54" s="4"/>
      <c r="C54" s="4"/>
      <c r="D54" s="4"/>
      <c r="E54" s="5"/>
      <c r="F54" s="5"/>
      <c r="G54" s="5"/>
      <c r="J54" s="4"/>
      <c r="K54" s="124"/>
      <c r="L54" s="80"/>
      <c r="M54" s="126"/>
      <c r="N54" s="125"/>
      <c r="R54" s="4"/>
    </row>
    <row r="55" spans="1:18" x14ac:dyDescent="0.25">
      <c r="J55" s="4"/>
      <c r="K55" s="124"/>
      <c r="L55" s="80"/>
      <c r="M55" s="123"/>
      <c r="N55" s="10"/>
    </row>
    <row r="56" spans="1:18" x14ac:dyDescent="0.25">
      <c r="K56" s="13"/>
      <c r="L56" s="12"/>
      <c r="M56" s="12"/>
      <c r="N56" s="122"/>
    </row>
    <row r="57" spans="1:18" ht="16.2" thickBot="1" x14ac:dyDescent="0.3">
      <c r="K57" s="121"/>
      <c r="L57" s="120"/>
      <c r="M57" s="119"/>
      <c r="N57" s="118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W67"/>
  <sheetViews>
    <sheetView zoomScale="88" zoomScaleNormal="88" workbookViewId="0">
      <pane xSplit="1" ySplit="3" topLeftCell="B13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" style="2" customWidth="1"/>
    <col min="2" max="6" width="10.69921875" style="1" customWidth="1"/>
    <col min="7" max="7" width="14.796875" style="1" customWidth="1"/>
    <col min="8" max="8" width="13.8984375" style="1" customWidth="1"/>
    <col min="9" max="9" width="13.69921875" style="1" customWidth="1"/>
    <col min="10" max="10" width="11.3984375" style="1" customWidth="1"/>
    <col min="11" max="17" width="13.69921875" style="1" customWidth="1"/>
    <col min="18" max="18" width="10.69921875" style="1" customWidth="1"/>
    <col min="19" max="19" width="13.69921875" style="1" customWidth="1"/>
    <col min="20" max="20" width="9.8984375" style="1" bestFit="1" customWidth="1"/>
    <col min="21" max="16384" width="8.8984375" style="1"/>
  </cols>
  <sheetData>
    <row r="1" spans="1:23" ht="28.5" customHeight="1" x14ac:dyDescent="0.25">
      <c r="A1" s="185"/>
      <c r="B1" s="200" t="s">
        <v>269</v>
      </c>
      <c r="C1" s="200" t="s">
        <v>270</v>
      </c>
      <c r="D1" s="200" t="s">
        <v>271</v>
      </c>
      <c r="E1" s="201" t="s">
        <v>272</v>
      </c>
      <c r="F1" s="185"/>
      <c r="G1" s="185"/>
      <c r="H1" s="185"/>
      <c r="I1" s="185"/>
      <c r="J1" s="73"/>
    </row>
    <row r="2" spans="1:23" x14ac:dyDescent="0.25">
      <c r="H2" s="3"/>
      <c r="I2" s="3"/>
      <c r="M2" s="70">
        <v>1048656659</v>
      </c>
      <c r="N2" s="70">
        <v>119948</v>
      </c>
      <c r="O2" s="69" t="s">
        <v>366</v>
      </c>
      <c r="P2" s="69" t="s">
        <v>289</v>
      </c>
      <c r="Q2" s="69" t="s">
        <v>308</v>
      </c>
      <c r="R2" s="69" t="s">
        <v>290</v>
      </c>
      <c r="S2" s="69" t="s">
        <v>309</v>
      </c>
      <c r="T2" s="69" t="s">
        <v>310</v>
      </c>
      <c r="U2" s="69" t="s">
        <v>367</v>
      </c>
      <c r="W2" s="67"/>
    </row>
    <row r="3" spans="1:23" s="67" customFormat="1" ht="22.5" customHeight="1" x14ac:dyDescent="0.25">
      <c r="A3" s="68" t="s">
        <v>291</v>
      </c>
      <c r="B3" s="68" t="s">
        <v>312</v>
      </c>
      <c r="C3" s="68" t="s">
        <v>292</v>
      </c>
      <c r="D3" s="68" t="s">
        <v>293</v>
      </c>
      <c r="E3" s="68" t="s">
        <v>294</v>
      </c>
      <c r="F3" s="68" t="s">
        <v>315</v>
      </c>
      <c r="G3" s="136" t="s">
        <v>368</v>
      </c>
      <c r="H3" s="226" t="s">
        <v>296</v>
      </c>
      <c r="I3" s="227" t="s">
        <v>369</v>
      </c>
      <c r="J3" s="227" t="s">
        <v>298</v>
      </c>
      <c r="K3" s="227" t="s">
        <v>370</v>
      </c>
      <c r="L3" s="227" t="s">
        <v>371</v>
      </c>
      <c r="M3" s="67" t="s">
        <v>372</v>
      </c>
      <c r="N3" s="67" t="s">
        <v>321</v>
      </c>
      <c r="O3" s="67" t="s">
        <v>365</v>
      </c>
      <c r="P3" s="67" t="s">
        <v>373</v>
      </c>
      <c r="Q3" s="67" t="s">
        <v>374</v>
      </c>
      <c r="R3" s="67" t="s">
        <v>375</v>
      </c>
      <c r="S3" s="67" t="s">
        <v>304</v>
      </c>
      <c r="T3" s="67" t="s">
        <v>326</v>
      </c>
      <c r="U3" s="67" t="s">
        <v>327</v>
      </c>
      <c r="V3" s="67" t="s">
        <v>376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2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ht="19.95" customHeight="1" x14ac:dyDescent="0.25">
      <c r="A37" s="198"/>
      <c r="B37" s="202"/>
      <c r="C37" s="203"/>
      <c r="D37" s="203"/>
      <c r="E37" s="203"/>
      <c r="F37" s="203"/>
      <c r="G37" s="203"/>
      <c r="H37" s="202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3" x14ac:dyDescent="0.25">
      <c r="A38" s="62" t="s">
        <v>166</v>
      </c>
      <c r="B38" s="61"/>
      <c r="E38" s="3"/>
      <c r="F38" s="3"/>
      <c r="G38" s="3"/>
      <c r="H38" s="61"/>
      <c r="I38" s="3"/>
      <c r="J38" s="3"/>
      <c r="K38" s="3"/>
      <c r="L38" s="3"/>
      <c r="M38" s="3"/>
      <c r="N38" s="3"/>
      <c r="O38" s="3"/>
      <c r="P38" s="3"/>
      <c r="Q38" s="3"/>
    </row>
    <row r="39" spans="1:23" ht="16.2" thickBot="1" x14ac:dyDescent="0.3">
      <c r="A39" s="60"/>
    </row>
    <row r="40" spans="1:23" x14ac:dyDescent="0.25">
      <c r="A40" s="79" t="s">
        <v>165</v>
      </c>
      <c r="B40" s="151">
        <v>0.16</v>
      </c>
      <c r="C40" s="4" t="s">
        <v>164</v>
      </c>
      <c r="D40" s="9"/>
      <c r="E40" s="145"/>
      <c r="F40" s="42" t="s">
        <v>163</v>
      </c>
      <c r="G40" s="41">
        <f>E35</f>
        <v>0</v>
      </c>
      <c r="H40" s="40" t="s">
        <v>161</v>
      </c>
      <c r="I40" s="39">
        <f>+B45</f>
        <v>0</v>
      </c>
      <c r="R40" s="9"/>
    </row>
    <row r="41" spans="1:23" x14ac:dyDescent="0.25">
      <c r="A41" s="79" t="s">
        <v>162</v>
      </c>
      <c r="B41" s="149">
        <f>ROUND(B43/1.1,0)</f>
        <v>0</v>
      </c>
      <c r="C41" s="9"/>
      <c r="D41" s="150">
        <v>0.15</v>
      </c>
      <c r="E41" s="145"/>
      <c r="F41" s="13" t="s">
        <v>161</v>
      </c>
      <c r="G41" s="12">
        <f>B45</f>
        <v>0</v>
      </c>
      <c r="H41" s="23" t="s">
        <v>160</v>
      </c>
      <c r="I41" s="10">
        <f>D35</f>
        <v>0</v>
      </c>
      <c r="R41" s="150">
        <v>0.15</v>
      </c>
    </row>
    <row r="42" spans="1:23" x14ac:dyDescent="0.25">
      <c r="A42" s="79" t="s">
        <v>159</v>
      </c>
      <c r="B42" s="149">
        <f>+B43-B41</f>
        <v>0</v>
      </c>
      <c r="C42" s="75" t="s">
        <v>158</v>
      </c>
      <c r="D42" s="75"/>
      <c r="E42" s="145"/>
      <c r="F42" s="13"/>
      <c r="G42" s="12"/>
      <c r="H42" s="23" t="s">
        <v>157</v>
      </c>
      <c r="I42" s="10">
        <f>B41</f>
        <v>0</v>
      </c>
      <c r="R42" s="75"/>
    </row>
    <row r="43" spans="1:23" x14ac:dyDescent="0.25">
      <c r="A43" s="79" t="s">
        <v>156</v>
      </c>
      <c r="B43" s="148">
        <f>E35*B40</f>
        <v>0</v>
      </c>
      <c r="C43" s="75"/>
      <c r="D43" s="147">
        <v>0.16</v>
      </c>
      <c r="E43" s="145"/>
      <c r="F43" s="13"/>
      <c r="G43" s="12"/>
      <c r="H43" s="23" t="s">
        <v>155</v>
      </c>
      <c r="I43" s="10">
        <f>B42</f>
        <v>0</v>
      </c>
      <c r="J43" s="32"/>
      <c r="R43" s="147">
        <v>0.16</v>
      </c>
    </row>
    <row r="44" spans="1:23" ht="17.399999999999999" x14ac:dyDescent="0.25">
      <c r="A44" s="129"/>
      <c r="C44" s="145"/>
      <c r="D44" s="145"/>
      <c r="E44" s="145"/>
      <c r="F44" s="146"/>
      <c r="G44" s="47"/>
      <c r="H44" s="80" t="s">
        <v>152</v>
      </c>
      <c r="I44" s="10">
        <f>B46</f>
        <v>0</v>
      </c>
      <c r="J44" s="37"/>
      <c r="K44" s="12"/>
      <c r="R44" s="145"/>
    </row>
    <row r="45" spans="1:23" x14ac:dyDescent="0.25">
      <c r="A45" s="144" t="s">
        <v>154</v>
      </c>
      <c r="B45" s="32">
        <f>E35-B41</f>
        <v>0</v>
      </c>
      <c r="C45" s="145"/>
      <c r="D45" s="145"/>
      <c r="E45" s="145"/>
      <c r="F45" s="124"/>
      <c r="G45" s="47"/>
      <c r="H45" s="80" t="s">
        <v>153</v>
      </c>
      <c r="I45" s="10">
        <f>B35</f>
        <v>0</v>
      </c>
      <c r="J45" s="32"/>
      <c r="K45" s="12"/>
      <c r="R45" s="145"/>
    </row>
    <row r="46" spans="1:23" ht="16.2" thickBot="1" x14ac:dyDescent="0.3">
      <c r="A46" s="144" t="s">
        <v>152</v>
      </c>
      <c r="B46" s="32">
        <f>C35-B43</f>
        <v>0</v>
      </c>
      <c r="F46" s="143"/>
      <c r="G46" s="7">
        <f>SUM(G40:G41)</f>
        <v>0</v>
      </c>
      <c r="H46" s="142"/>
      <c r="I46" s="141">
        <f>SUM(I40:I45)</f>
        <v>0</v>
      </c>
      <c r="J46" s="24"/>
      <c r="K46" s="12">
        <f>SUM(K40:K45)</f>
        <v>0</v>
      </c>
    </row>
    <row r="47" spans="1:23" s="4" customFormat="1" x14ac:dyDescent="0.25">
      <c r="A47" s="27"/>
      <c r="B47" s="26"/>
      <c r="F47" s="24"/>
      <c r="G47" s="24"/>
      <c r="J47" s="24"/>
      <c r="K47" s="24"/>
    </row>
    <row r="48" spans="1:23" s="4" customFormat="1" x14ac:dyDescent="0.25">
      <c r="A48" s="20" t="s">
        <v>151</v>
      </c>
      <c r="B48" s="3"/>
      <c r="F48" s="9"/>
      <c r="J48" s="77"/>
      <c r="K48" s="15"/>
    </row>
    <row r="49" spans="1:18" s="4" customFormat="1" x14ac:dyDescent="0.25">
      <c r="A49" s="20" t="s">
        <v>150</v>
      </c>
      <c r="B49" s="140"/>
      <c r="C49" s="18"/>
      <c r="D49" s="14"/>
      <c r="E49" s="14"/>
      <c r="F49" s="14"/>
      <c r="G49" s="14"/>
      <c r="H49" s="140"/>
      <c r="I49" s="77"/>
      <c r="J49" s="77"/>
      <c r="K49" s="15"/>
      <c r="L49" s="9"/>
      <c r="R49" s="14"/>
    </row>
    <row r="50" spans="1:18" s="4" customFormat="1" x14ac:dyDescent="0.25">
      <c r="A50" s="14"/>
      <c r="B50" s="17"/>
      <c r="C50" s="16"/>
      <c r="D50" s="14"/>
      <c r="E50" s="14"/>
      <c r="F50" s="14"/>
      <c r="G50" s="14"/>
      <c r="H50" s="17"/>
      <c r="I50" s="77"/>
      <c r="J50" s="77"/>
      <c r="L50" s="9"/>
      <c r="R50" s="14"/>
    </row>
    <row r="51" spans="1:18" s="4" customFormat="1" x14ac:dyDescent="0.25">
      <c r="A51" s="4" t="s">
        <v>149</v>
      </c>
      <c r="I51" s="9"/>
      <c r="J51" s="9"/>
      <c r="K51" s="9"/>
      <c r="L51" s="9"/>
      <c r="M51" s="1"/>
      <c r="N51" s="1"/>
      <c r="O51" s="1"/>
      <c r="P51" s="1"/>
    </row>
    <row r="52" spans="1:18" s="4" customFormat="1" x14ac:dyDescent="0.25">
      <c r="B52" s="139"/>
      <c r="C52" s="138"/>
      <c r="H52" s="139"/>
      <c r="M52" s="1"/>
      <c r="N52" s="1"/>
      <c r="O52" s="1"/>
      <c r="P52" s="1"/>
    </row>
    <row r="53" spans="1:18" s="4" customFormat="1" x14ac:dyDescent="0.25">
      <c r="B53" s="137"/>
      <c r="C53" s="138"/>
      <c r="D53" s="5"/>
      <c r="H53" s="137"/>
      <c r="M53" s="1"/>
      <c r="N53" s="1"/>
      <c r="O53" s="1"/>
      <c r="P53" s="1"/>
      <c r="R53" s="5"/>
    </row>
    <row r="54" spans="1:18" x14ac:dyDescent="0.25">
      <c r="J54" s="4"/>
      <c r="L54" s="15"/>
    </row>
    <row r="55" spans="1:18" x14ac:dyDescent="0.25">
      <c r="J55" s="4"/>
    </row>
    <row r="67" spans="22:22" x14ac:dyDescent="0.25">
      <c r="V67" s="1" t="s">
        <v>148</v>
      </c>
    </row>
  </sheetData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57"/>
  <sheetViews>
    <sheetView zoomScale="85" zoomScaleNormal="85" workbookViewId="0">
      <pane xSplit="1" ySplit="3" topLeftCell="B28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6.3984375" style="2" customWidth="1"/>
    <col min="2" max="2" width="10.69921875" style="1" customWidth="1"/>
    <col min="3" max="3" width="13.3984375" style="1" bestFit="1" customWidth="1"/>
    <col min="4" max="4" width="11.69921875" style="1" bestFit="1" customWidth="1"/>
    <col min="5" max="5" width="13.3984375" style="1" bestFit="1" customWidth="1"/>
    <col min="6" max="6" width="13.3984375" style="1" customWidth="1"/>
    <col min="7" max="7" width="13.3984375" style="1" bestFit="1" customWidth="1"/>
    <col min="8" max="8" width="10.69921875" style="1" customWidth="1"/>
    <col min="9" max="9" width="13.69921875" style="1" customWidth="1"/>
    <col min="10" max="10" width="11.3984375" style="1" customWidth="1"/>
    <col min="11" max="11" width="14.09765625" style="1" customWidth="1"/>
    <col min="12" max="18" width="13.69921875" style="1" customWidth="1"/>
    <col min="19" max="19" width="10.19921875" style="1" bestFit="1" customWidth="1"/>
    <col min="20" max="16384" width="8.8984375" style="1"/>
  </cols>
  <sheetData>
    <row r="1" spans="1:23" ht="28.5" customHeight="1" x14ac:dyDescent="0.25">
      <c r="A1" s="185"/>
      <c r="B1" s="200" t="s">
        <v>277</v>
      </c>
      <c r="C1" s="200" t="s">
        <v>278</v>
      </c>
      <c r="D1" s="200" t="s">
        <v>273</v>
      </c>
      <c r="E1" s="201" t="s">
        <v>274</v>
      </c>
      <c r="F1" s="185"/>
      <c r="G1" s="185"/>
      <c r="H1" s="185"/>
      <c r="I1" s="185"/>
      <c r="J1" s="73"/>
      <c r="K1" s="72"/>
      <c r="L1" s="71"/>
    </row>
    <row r="2" spans="1:23" x14ac:dyDescent="0.25">
      <c r="H2" s="3"/>
      <c r="I2" s="3"/>
      <c r="M2" s="70">
        <v>1048656659</v>
      </c>
      <c r="N2" s="70">
        <v>119948</v>
      </c>
      <c r="O2" s="69" t="s">
        <v>42</v>
      </c>
      <c r="P2" s="69" t="s">
        <v>41</v>
      </c>
      <c r="Q2" s="69" t="s">
        <v>40</v>
      </c>
      <c r="R2" s="69" t="s">
        <v>39</v>
      </c>
      <c r="S2" s="69" t="s">
        <v>377</v>
      </c>
      <c r="T2" s="69" t="s">
        <v>37</v>
      </c>
      <c r="U2" s="69" t="s">
        <v>36</v>
      </c>
      <c r="W2" s="67"/>
    </row>
    <row r="3" spans="1:23" s="67" customFormat="1" ht="22.5" customHeight="1" x14ac:dyDescent="0.25">
      <c r="A3" s="68" t="s">
        <v>35</v>
      </c>
      <c r="B3" s="68" t="s">
        <v>32</v>
      </c>
      <c r="C3" s="68" t="s">
        <v>360</v>
      </c>
      <c r="D3" s="68" t="s">
        <v>378</v>
      </c>
      <c r="E3" s="68" t="s">
        <v>23</v>
      </c>
      <c r="F3" s="68" t="s">
        <v>379</v>
      </c>
      <c r="G3" s="136" t="s">
        <v>251</v>
      </c>
      <c r="H3" s="226" t="s">
        <v>317</v>
      </c>
      <c r="I3" s="227" t="s">
        <v>297</v>
      </c>
      <c r="J3" s="227" t="s">
        <v>380</v>
      </c>
      <c r="K3" s="227" t="s">
        <v>299</v>
      </c>
      <c r="L3" s="227" t="s">
        <v>300</v>
      </c>
      <c r="M3" s="67" t="s">
        <v>381</v>
      </c>
      <c r="N3" s="67" t="s">
        <v>30</v>
      </c>
      <c r="O3" s="67" t="s">
        <v>382</v>
      </c>
      <c r="P3" s="67" t="s">
        <v>373</v>
      </c>
      <c r="Q3" s="67" t="s">
        <v>27</v>
      </c>
      <c r="R3" s="67" t="s">
        <v>324</v>
      </c>
      <c r="S3" s="67" t="s">
        <v>383</v>
      </c>
      <c r="T3" s="67" t="s">
        <v>25</v>
      </c>
      <c r="U3" s="67" t="s">
        <v>24</v>
      </c>
      <c r="V3" s="67" t="s">
        <v>7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2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ht="19.95" customHeight="1" x14ac:dyDescent="0.25">
      <c r="A37" s="198"/>
      <c r="B37" s="202"/>
      <c r="C37" s="203"/>
      <c r="D37" s="203"/>
      <c r="E37" s="203"/>
      <c r="F37" s="203"/>
      <c r="G37" s="203"/>
      <c r="H37" s="202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3" x14ac:dyDescent="0.25">
      <c r="A38" s="62" t="s">
        <v>166</v>
      </c>
      <c r="B38" s="61"/>
      <c r="E38" s="3"/>
      <c r="F38" s="3"/>
      <c r="G38" s="3"/>
      <c r="H38" s="61"/>
      <c r="I38" s="3"/>
      <c r="J38" s="3"/>
      <c r="K38" s="3"/>
      <c r="L38" s="3"/>
      <c r="M38" s="3"/>
      <c r="N38" s="3"/>
      <c r="O38" s="3"/>
      <c r="P38" s="3"/>
      <c r="Q38" s="3"/>
    </row>
    <row r="39" spans="1:23" ht="16.2" thickBot="1" x14ac:dyDescent="0.3">
      <c r="A39" s="60"/>
      <c r="B39" s="1" t="s">
        <v>183</v>
      </c>
      <c r="E39" s="1" t="s">
        <v>182</v>
      </c>
    </row>
    <row r="40" spans="1:23" x14ac:dyDescent="0.25">
      <c r="A40" s="207" t="s">
        <v>181</v>
      </c>
      <c r="B40" s="158" t="s">
        <v>180</v>
      </c>
      <c r="C40" s="95">
        <v>0.14000000000000001</v>
      </c>
      <c r="D40" s="205" t="s">
        <v>179</v>
      </c>
      <c r="E40" s="215">
        <v>9500000</v>
      </c>
      <c r="F40" s="111"/>
      <c r="G40" s="215"/>
      <c r="H40" s="158"/>
      <c r="J40" s="1" t="s">
        <v>178</v>
      </c>
      <c r="K40" s="24"/>
      <c r="L40" s="48"/>
      <c r="M40" s="47"/>
    </row>
    <row r="41" spans="1:23" x14ac:dyDescent="0.25">
      <c r="A41" s="213"/>
      <c r="B41" s="156" t="s">
        <v>177</v>
      </c>
      <c r="C41" s="157">
        <v>0.15</v>
      </c>
      <c r="D41" s="214"/>
      <c r="E41" s="216"/>
      <c r="F41" s="107"/>
      <c r="G41" s="216"/>
      <c r="H41" s="156"/>
      <c r="J41" s="1" t="s">
        <v>176</v>
      </c>
      <c r="K41" s="24"/>
      <c r="L41" s="48"/>
      <c r="M41" s="47"/>
    </row>
    <row r="42" spans="1:23" ht="16.2" thickBot="1" x14ac:dyDescent="0.3">
      <c r="A42" s="208"/>
      <c r="B42" s="92" t="s">
        <v>175</v>
      </c>
      <c r="C42" s="106">
        <v>0.155</v>
      </c>
      <c r="D42" s="206"/>
      <c r="E42" s="217"/>
      <c r="F42" s="104"/>
      <c r="G42" s="217"/>
      <c r="H42" s="92"/>
      <c r="J42" s="1" t="s">
        <v>174</v>
      </c>
      <c r="K42" s="24"/>
      <c r="L42" s="48"/>
      <c r="M42" s="47"/>
    </row>
    <row r="43" spans="1:23" x14ac:dyDescent="0.25">
      <c r="A43" s="53"/>
      <c r="C43" s="103"/>
      <c r="D43" s="102"/>
      <c r="E43" s="50"/>
      <c r="F43" s="50"/>
      <c r="G43" s="50"/>
      <c r="J43" s="32"/>
      <c r="K43" s="24"/>
      <c r="L43" s="48"/>
      <c r="M43" s="47"/>
    </row>
    <row r="44" spans="1:23" x14ac:dyDescent="0.25">
      <c r="A44" s="79" t="s">
        <v>165</v>
      </c>
      <c r="B44" s="87">
        <v>0.14000000000000001</v>
      </c>
      <c r="C44" s="86" t="s">
        <v>173</v>
      </c>
      <c r="D44" s="155"/>
      <c r="E44" s="80" t="s">
        <v>172</v>
      </c>
      <c r="F44" s="47">
        <f>E35-B45</f>
        <v>0</v>
      </c>
      <c r="G44" s="80"/>
      <c r="H44" s="87"/>
      <c r="I44" s="32"/>
      <c r="J44" s="37"/>
      <c r="K44" s="24"/>
      <c r="L44" s="48"/>
      <c r="M44" s="47"/>
    </row>
    <row r="45" spans="1:23" x14ac:dyDescent="0.25">
      <c r="A45" s="79" t="s">
        <v>162</v>
      </c>
      <c r="B45" s="82">
        <f>ROUND(B47/1.1,0)</f>
        <v>0</v>
      </c>
      <c r="C45" s="84">
        <v>9500000</v>
      </c>
      <c r="D45" s="154"/>
      <c r="E45" s="80" t="s">
        <v>152</v>
      </c>
      <c r="F45" s="47">
        <f>C35-B47</f>
        <v>0</v>
      </c>
      <c r="G45" s="80"/>
      <c r="H45" s="82"/>
      <c r="I45" s="37"/>
      <c r="J45" s="32"/>
      <c r="K45" s="24"/>
      <c r="L45" s="48"/>
      <c r="M45" s="47"/>
    </row>
    <row r="46" spans="1:23" x14ac:dyDescent="0.25">
      <c r="A46" s="79" t="s">
        <v>171</v>
      </c>
      <c r="B46" s="82">
        <f>+B47-B45</f>
        <v>0</v>
      </c>
      <c r="C46" s="63">
        <v>950000</v>
      </c>
      <c r="D46" s="154"/>
      <c r="E46" s="80" t="s">
        <v>167</v>
      </c>
      <c r="F46" s="47">
        <f>B35</f>
        <v>0</v>
      </c>
      <c r="G46" s="80"/>
      <c r="H46" s="82"/>
      <c r="I46" s="32"/>
      <c r="J46" s="24"/>
      <c r="K46" s="24"/>
      <c r="L46" s="24"/>
      <c r="M46" s="47"/>
    </row>
    <row r="47" spans="1:23" x14ac:dyDescent="0.25">
      <c r="A47" s="79" t="s">
        <v>156</v>
      </c>
      <c r="B47" s="78">
        <f>+E35*B44</f>
        <v>0</v>
      </c>
      <c r="C47" s="63">
        <f>C45+C46</f>
        <v>10450000</v>
      </c>
      <c r="D47" s="154"/>
      <c r="E47" s="153"/>
      <c r="F47" s="153"/>
      <c r="G47" s="153"/>
      <c r="H47" s="78"/>
      <c r="I47" s="152"/>
      <c r="J47" s="24"/>
      <c r="K47" s="24"/>
      <c r="L47" s="24"/>
      <c r="M47" s="24"/>
    </row>
    <row r="48" spans="1:23" s="4" customFormat="1" x14ac:dyDescent="0.25">
      <c r="A48" s="27"/>
      <c r="B48" s="26"/>
      <c r="H48" s="26"/>
      <c r="I48" s="152"/>
      <c r="J48" s="77"/>
      <c r="K48" s="24"/>
      <c r="P48" s="1"/>
      <c r="Q48" s="1"/>
    </row>
    <row r="49" spans="1:17" s="4" customFormat="1" ht="16.2" thickBot="1" x14ac:dyDescent="0.3">
      <c r="A49" s="20" t="s">
        <v>170</v>
      </c>
      <c r="B49" s="3"/>
      <c r="H49" s="3"/>
      <c r="I49" s="77"/>
      <c r="J49" s="77"/>
      <c r="K49" s="15"/>
      <c r="P49" s="1"/>
      <c r="Q49" s="1"/>
    </row>
    <row r="50" spans="1:17" s="4" customFormat="1" x14ac:dyDescent="0.25">
      <c r="A50" s="20" t="s">
        <v>169</v>
      </c>
      <c r="B50" s="19"/>
      <c r="C50" s="18"/>
      <c r="D50" s="14"/>
      <c r="E50" s="14"/>
      <c r="F50" s="42" t="s">
        <v>163</v>
      </c>
      <c r="G50" s="41">
        <f>E35</f>
        <v>0</v>
      </c>
      <c r="H50" s="40" t="s">
        <v>161</v>
      </c>
      <c r="I50" s="39">
        <f>G52</f>
        <v>0</v>
      </c>
      <c r="J50" s="77"/>
      <c r="K50" s="15"/>
      <c r="P50" s="1"/>
      <c r="Q50" s="1"/>
    </row>
    <row r="51" spans="1:17" s="4" customFormat="1" x14ac:dyDescent="0.25">
      <c r="A51" s="14"/>
      <c r="B51" s="17"/>
      <c r="C51" s="16"/>
      <c r="D51" s="14"/>
      <c r="E51" s="14"/>
      <c r="F51" s="13"/>
      <c r="G51" s="12"/>
      <c r="H51" s="23"/>
      <c r="I51" s="10"/>
      <c r="J51" s="9"/>
      <c r="K51" s="15"/>
      <c r="P51" s="1"/>
      <c r="Q51" s="1"/>
    </row>
    <row r="52" spans="1:17" s="4" customFormat="1" x14ac:dyDescent="0.25">
      <c r="A52" s="4" t="s">
        <v>168</v>
      </c>
      <c r="F52" s="13" t="s">
        <v>161</v>
      </c>
      <c r="G52" s="12">
        <f>F44</f>
        <v>0</v>
      </c>
      <c r="H52" s="23" t="s">
        <v>160</v>
      </c>
      <c r="I52" s="10">
        <f>D35</f>
        <v>0</v>
      </c>
      <c r="K52" s="9"/>
      <c r="P52" s="1"/>
      <c r="Q52" s="1"/>
    </row>
    <row r="53" spans="1:17" s="4" customFormat="1" x14ac:dyDescent="0.25">
      <c r="F53" s="13"/>
      <c r="G53" s="12"/>
      <c r="H53" s="23" t="s">
        <v>157</v>
      </c>
      <c r="I53" s="10">
        <f>B45</f>
        <v>0</v>
      </c>
      <c r="P53" s="1"/>
      <c r="Q53" s="1"/>
    </row>
    <row r="54" spans="1:17" s="4" customFormat="1" x14ac:dyDescent="0.25">
      <c r="D54" s="5"/>
      <c r="F54" s="13"/>
      <c r="G54" s="12"/>
      <c r="H54" s="23" t="s">
        <v>131</v>
      </c>
      <c r="I54" s="10">
        <f>B46</f>
        <v>0</v>
      </c>
      <c r="P54" s="1"/>
      <c r="Q54" s="1"/>
    </row>
    <row r="55" spans="1:17" x14ac:dyDescent="0.25">
      <c r="F55" s="13"/>
      <c r="G55" s="12"/>
      <c r="H55" s="23" t="s">
        <v>3</v>
      </c>
      <c r="I55" s="22">
        <f>F45</f>
        <v>0</v>
      </c>
      <c r="J55" s="4"/>
    </row>
    <row r="56" spans="1:17" x14ac:dyDescent="0.25">
      <c r="F56" s="13"/>
      <c r="G56" s="12"/>
      <c r="H56" s="11" t="s">
        <v>167</v>
      </c>
      <c r="I56" s="10">
        <f>F46</f>
        <v>0</v>
      </c>
    </row>
    <row r="57" spans="1:17" ht="16.2" thickBot="1" x14ac:dyDescent="0.3">
      <c r="F57" s="8"/>
      <c r="G57" s="7">
        <f>SUM(G50:G56)</f>
        <v>0</v>
      </c>
      <c r="H57" s="7"/>
      <c r="I57" s="6">
        <f>SUM(I50:I56)</f>
        <v>0</v>
      </c>
    </row>
  </sheetData>
  <mergeCells count="4">
    <mergeCell ref="A40:A42"/>
    <mergeCell ref="D40:D42"/>
    <mergeCell ref="E40:E42"/>
    <mergeCell ref="G40:G42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54"/>
  <sheetViews>
    <sheetView zoomScaleNormal="100" workbookViewId="0">
      <pane xSplit="1" ySplit="3" topLeftCell="M25" activePane="bottomRight" state="frozen"/>
      <selection activeCell="F55" sqref="F55"/>
      <selection pane="topRight" activeCell="F55" sqref="F55"/>
      <selection pane="bottomLeft" activeCell="F55" sqref="F55"/>
      <selection pane="bottomRight" activeCell="A2" sqref="A2:XFD35"/>
    </sheetView>
  </sheetViews>
  <sheetFormatPr defaultColWidth="8.8984375" defaultRowHeight="15.6" x14ac:dyDescent="0.25"/>
  <cols>
    <col min="1" max="1" width="10.69921875" style="2" customWidth="1"/>
    <col min="2" max="3" width="11.8984375" style="1" bestFit="1" customWidth="1"/>
    <col min="4" max="4" width="10.69921875" style="1" customWidth="1"/>
    <col min="5" max="6" width="11.8984375" style="1" bestFit="1" customWidth="1"/>
    <col min="7" max="7" width="14.8984375" style="1" customWidth="1"/>
    <col min="8" max="8" width="15.296875" style="1" customWidth="1"/>
    <col min="9" max="9" width="11.8984375" style="1" bestFit="1" customWidth="1"/>
    <col min="10" max="10" width="12.296875" style="160" customWidth="1"/>
    <col min="11" max="11" width="11.3984375" style="1" customWidth="1"/>
    <col min="12" max="12" width="10.8984375" style="1" bestFit="1" customWidth="1"/>
    <col min="13" max="13" width="14.19921875" style="3" customWidth="1"/>
    <col min="14" max="14" width="11.8984375" style="159" bestFit="1" customWidth="1"/>
    <col min="15" max="15" width="16.3984375" style="1" customWidth="1"/>
    <col min="16" max="16" width="11.8984375" style="1" bestFit="1" customWidth="1"/>
    <col min="17" max="17" width="14.19921875" style="1" bestFit="1" customWidth="1"/>
    <col min="18" max="18" width="11.8984375" style="1" bestFit="1" customWidth="1"/>
    <col min="19" max="19" width="10.69921875" style="1" customWidth="1"/>
    <col min="20" max="28" width="13.69921875" style="1" customWidth="1"/>
    <col min="29" max="16384" width="8.8984375" style="1"/>
  </cols>
  <sheetData>
    <row r="1" spans="1:28" ht="28.5" customHeight="1" x14ac:dyDescent="0.25">
      <c r="A1" s="204"/>
      <c r="B1" s="200" t="s">
        <v>275</v>
      </c>
      <c r="C1" s="200" t="s">
        <v>276</v>
      </c>
      <c r="D1" s="200" t="s">
        <v>279</v>
      </c>
      <c r="E1" s="201" t="s">
        <v>280</v>
      </c>
      <c r="F1" s="204"/>
      <c r="G1" s="204"/>
      <c r="H1" s="204"/>
      <c r="I1" s="204"/>
      <c r="J1" s="204"/>
      <c r="O1" s="204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 spans="1:28" x14ac:dyDescent="0.25">
      <c r="H2" s="3"/>
      <c r="I2" s="3"/>
      <c r="J2" s="1"/>
      <c r="M2" s="70">
        <v>1048656659</v>
      </c>
      <c r="N2" s="70">
        <v>119948</v>
      </c>
      <c r="O2" s="69" t="s">
        <v>366</v>
      </c>
      <c r="P2" s="69" t="s">
        <v>289</v>
      </c>
      <c r="Q2" s="69" t="s">
        <v>40</v>
      </c>
      <c r="R2" s="69" t="s">
        <v>290</v>
      </c>
      <c r="S2" s="69" t="s">
        <v>309</v>
      </c>
      <c r="T2" s="69" t="s">
        <v>384</v>
      </c>
      <c r="U2" s="69" t="s">
        <v>36</v>
      </c>
      <c r="W2" s="67"/>
    </row>
    <row r="3" spans="1:28" s="67" customFormat="1" ht="22.5" customHeight="1" x14ac:dyDescent="0.25">
      <c r="A3" s="68" t="s">
        <v>35</v>
      </c>
      <c r="B3" s="68" t="s">
        <v>312</v>
      </c>
      <c r="C3" s="68" t="s">
        <v>385</v>
      </c>
      <c r="D3" s="68" t="s">
        <v>293</v>
      </c>
      <c r="E3" s="68" t="s">
        <v>294</v>
      </c>
      <c r="F3" s="68" t="s">
        <v>315</v>
      </c>
      <c r="G3" s="136" t="s">
        <v>368</v>
      </c>
      <c r="H3" s="226" t="s">
        <v>296</v>
      </c>
      <c r="I3" s="227" t="s">
        <v>297</v>
      </c>
      <c r="J3" s="227" t="s">
        <v>298</v>
      </c>
      <c r="K3" s="227" t="s">
        <v>370</v>
      </c>
      <c r="L3" s="227" t="s">
        <v>371</v>
      </c>
      <c r="M3" s="67" t="s">
        <v>372</v>
      </c>
      <c r="N3" s="67" t="s">
        <v>321</v>
      </c>
      <c r="O3" s="67" t="s">
        <v>365</v>
      </c>
      <c r="P3" s="67" t="s">
        <v>373</v>
      </c>
      <c r="Q3" s="67" t="s">
        <v>374</v>
      </c>
      <c r="R3" s="67" t="s">
        <v>375</v>
      </c>
      <c r="S3" s="67" t="s">
        <v>304</v>
      </c>
      <c r="T3" s="67" t="s">
        <v>326</v>
      </c>
      <c r="U3" s="67" t="s">
        <v>327</v>
      </c>
      <c r="V3" s="67" t="s">
        <v>376</v>
      </c>
      <c r="W3" s="1"/>
    </row>
    <row r="4" spans="1:28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8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8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8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8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8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8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8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8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8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8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8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8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8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8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8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8" ht="16.2" thickBot="1" x14ac:dyDescent="0.3">
      <c r="A36" s="184"/>
      <c r="B36" s="61"/>
      <c r="H36" s="80"/>
      <c r="I36" s="183"/>
      <c r="J36" s="2"/>
      <c r="K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9.2" x14ac:dyDescent="0.25">
      <c r="A37" s="182" t="s">
        <v>202</v>
      </c>
      <c r="B37" s="181"/>
      <c r="C37" s="180">
        <v>0.16500000000000001</v>
      </c>
      <c r="G37" s="32"/>
      <c r="H37" s="80"/>
      <c r="I37" s="179"/>
      <c r="J37" s="174"/>
      <c r="K37" s="173"/>
      <c r="T37" s="3"/>
      <c r="U37" s="3"/>
      <c r="V37" s="3"/>
      <c r="W37" s="3"/>
      <c r="X37" s="3"/>
      <c r="Y37" s="3"/>
      <c r="Z37" s="3"/>
      <c r="AA37" s="3"/>
      <c r="AB37" s="3"/>
    </row>
    <row r="38" spans="1:28" ht="19.8" thickBot="1" x14ac:dyDescent="0.3">
      <c r="A38" s="178" t="s">
        <v>201</v>
      </c>
      <c r="B38" s="142"/>
      <c r="C38" s="177">
        <v>0.17499999999999999</v>
      </c>
      <c r="H38" s="80"/>
      <c r="I38" s="175"/>
      <c r="J38" s="174"/>
      <c r="K38" s="173"/>
    </row>
    <row r="39" spans="1:28" ht="19.8" thickBot="1" x14ac:dyDescent="0.3">
      <c r="A39" s="176"/>
      <c r="B39" s="80"/>
      <c r="C39" s="80" t="s">
        <v>200</v>
      </c>
      <c r="H39" s="80"/>
      <c r="I39" s="175"/>
      <c r="J39" s="174"/>
      <c r="K39" s="173"/>
    </row>
    <row r="40" spans="1:28" x14ac:dyDescent="0.25">
      <c r="A40" s="79" t="s">
        <v>199</v>
      </c>
      <c r="B40" s="172">
        <v>0.16500000000000001</v>
      </c>
      <c r="C40" s="86" t="s">
        <v>198</v>
      </c>
      <c r="E40" s="42" t="s">
        <v>197</v>
      </c>
      <c r="F40" s="41">
        <f>+E35</f>
        <v>0</v>
      </c>
      <c r="G40" s="40" t="s">
        <v>195</v>
      </c>
      <c r="H40" s="39">
        <f>+B45</f>
        <v>0</v>
      </c>
      <c r="J40" s="2"/>
    </row>
    <row r="41" spans="1:28" x14ac:dyDescent="0.25">
      <c r="A41" s="79" t="s">
        <v>196</v>
      </c>
      <c r="B41" s="149">
        <f>ROUND(B43/1.1,0)</f>
        <v>0</v>
      </c>
      <c r="C41" s="84">
        <v>9000000</v>
      </c>
      <c r="E41" s="13" t="s">
        <v>195</v>
      </c>
      <c r="F41" s="12">
        <f>+H40</f>
        <v>0</v>
      </c>
      <c r="G41" s="23" t="s">
        <v>194</v>
      </c>
      <c r="H41" s="10">
        <f>B46</f>
        <v>0</v>
      </c>
      <c r="J41" s="24"/>
    </row>
    <row r="42" spans="1:28" x14ac:dyDescent="0.25">
      <c r="A42" s="79" t="s">
        <v>193</v>
      </c>
      <c r="B42" s="149">
        <f>+B43-B41</f>
        <v>0</v>
      </c>
      <c r="C42" s="63">
        <f>C41/10</f>
        <v>900000</v>
      </c>
      <c r="E42" s="13"/>
      <c r="F42" s="12"/>
      <c r="G42" s="23" t="s">
        <v>192</v>
      </c>
      <c r="H42" s="10">
        <f>B41</f>
        <v>0</v>
      </c>
      <c r="J42" s="3"/>
      <c r="K42" s="32"/>
    </row>
    <row r="43" spans="1:28" x14ac:dyDescent="0.25">
      <c r="A43" s="79" t="s">
        <v>191</v>
      </c>
      <c r="B43" s="148">
        <f>+E35*B40</f>
        <v>0</v>
      </c>
      <c r="C43" s="63">
        <f>C42+C41</f>
        <v>9900000</v>
      </c>
      <c r="E43" s="13"/>
      <c r="F43" s="12"/>
      <c r="G43" s="23" t="s">
        <v>190</v>
      </c>
      <c r="H43" s="10">
        <f>B42</f>
        <v>0</v>
      </c>
      <c r="J43" s="3"/>
    </row>
    <row r="44" spans="1:28" ht="17.399999999999999" x14ac:dyDescent="0.25">
      <c r="A44" s="129"/>
      <c r="C44" s="32"/>
      <c r="E44" s="13"/>
      <c r="F44" s="12"/>
      <c r="G44" s="23" t="s">
        <v>186</v>
      </c>
      <c r="H44" s="22">
        <f>+B47</f>
        <v>0</v>
      </c>
      <c r="I44" s="37"/>
      <c r="J44" s="32"/>
      <c r="K44" s="32"/>
    </row>
    <row r="45" spans="1:28" x14ac:dyDescent="0.25">
      <c r="A45" s="2" t="s">
        <v>189</v>
      </c>
      <c r="B45" s="32">
        <f>E35-B41</f>
        <v>0</v>
      </c>
      <c r="E45" s="13"/>
      <c r="F45" s="12"/>
      <c r="G45" s="123" t="s">
        <v>188</v>
      </c>
      <c r="H45" s="10">
        <f>+B35</f>
        <v>0</v>
      </c>
      <c r="J45" s="1"/>
      <c r="K45" s="24"/>
    </row>
    <row r="46" spans="1:28" ht="16.2" thickBot="1" x14ac:dyDescent="0.3">
      <c r="A46" s="2" t="s">
        <v>187</v>
      </c>
      <c r="B46" s="32">
        <f>D35</f>
        <v>0</v>
      </c>
      <c r="E46" s="8"/>
      <c r="F46" s="7">
        <f>SUM(F40:F45)</f>
        <v>0</v>
      </c>
      <c r="G46" s="7"/>
      <c r="H46" s="6">
        <f>SUM(H40:H45)</f>
        <v>0</v>
      </c>
      <c r="J46" s="1"/>
      <c r="K46" s="24"/>
      <c r="Q46" s="32"/>
    </row>
    <row r="47" spans="1:28" s="161" customFormat="1" x14ac:dyDescent="0.25">
      <c r="A47" s="2" t="s">
        <v>186</v>
      </c>
      <c r="B47" s="32">
        <f>C35-B43</f>
        <v>0</v>
      </c>
      <c r="C47" s="32"/>
      <c r="D47" s="1"/>
      <c r="E47" s="1"/>
      <c r="F47" s="3"/>
      <c r="H47" s="166"/>
      <c r="I47" s="32"/>
      <c r="J47" s="1"/>
      <c r="K47" s="77"/>
      <c r="L47" s="1"/>
      <c r="N47" s="171"/>
      <c r="O47" s="170"/>
      <c r="P47" s="163"/>
      <c r="Q47" s="152"/>
      <c r="R47" s="24"/>
      <c r="S47" s="24"/>
      <c r="T47" s="24"/>
    </row>
    <row r="48" spans="1:28" s="161" customFormat="1" x14ac:dyDescent="0.25">
      <c r="A48" s="27"/>
      <c r="B48" s="26"/>
      <c r="F48" s="3"/>
      <c r="H48" s="166"/>
      <c r="I48" s="26"/>
      <c r="K48" s="77"/>
      <c r="N48" s="167"/>
      <c r="O48" s="15"/>
      <c r="P48" s="163"/>
    </row>
    <row r="49" spans="1:20" s="161" customFormat="1" x14ac:dyDescent="0.25">
      <c r="A49" s="169" t="s">
        <v>185</v>
      </c>
      <c r="B49" s="3"/>
      <c r="F49" s="3"/>
      <c r="H49" s="166"/>
      <c r="I49" s="3"/>
      <c r="K49" s="77"/>
      <c r="M49" s="165"/>
      <c r="N49" s="167"/>
      <c r="O49" s="15"/>
      <c r="P49" s="163"/>
    </row>
    <row r="50" spans="1:20" s="161" customFormat="1" x14ac:dyDescent="0.25">
      <c r="A50" s="161" t="s">
        <v>184</v>
      </c>
      <c r="B50" s="19"/>
      <c r="C50" s="168"/>
      <c r="D50" s="168"/>
      <c r="E50" s="165"/>
      <c r="F50" s="3"/>
      <c r="H50" s="166"/>
      <c r="I50" s="19"/>
      <c r="J50" s="165"/>
      <c r="K50" s="9"/>
      <c r="L50" s="168"/>
      <c r="M50" s="165"/>
      <c r="N50" s="167"/>
      <c r="O50" s="15"/>
      <c r="P50" s="163"/>
    </row>
    <row r="51" spans="1:20" s="161" customFormat="1" x14ac:dyDescent="0.25">
      <c r="A51" s="165"/>
      <c r="B51" s="17"/>
      <c r="C51" s="164"/>
      <c r="D51" s="164"/>
      <c r="E51" s="165"/>
      <c r="F51" s="3"/>
      <c r="H51" s="166"/>
      <c r="I51" s="17"/>
      <c r="J51" s="165"/>
      <c r="K51" s="4"/>
      <c r="L51" s="164"/>
      <c r="N51" s="163"/>
      <c r="O51" s="163"/>
      <c r="P51" s="163"/>
      <c r="Q51" s="1"/>
      <c r="R51" s="1"/>
      <c r="S51" s="1"/>
      <c r="T51" s="1"/>
    </row>
    <row r="52" spans="1:20" s="161" customFormat="1" x14ac:dyDescent="0.25">
      <c r="F52" s="3"/>
      <c r="H52" s="162"/>
      <c r="K52" s="4"/>
      <c r="Q52" s="1"/>
      <c r="R52" s="1"/>
      <c r="S52" s="1"/>
      <c r="T52" s="1"/>
    </row>
    <row r="53" spans="1:20" s="161" customFormat="1" x14ac:dyDescent="0.25">
      <c r="F53" s="3"/>
      <c r="K53" s="4"/>
      <c r="Q53" s="1"/>
      <c r="R53" s="1"/>
      <c r="S53" s="1"/>
      <c r="T53" s="1"/>
    </row>
    <row r="54" spans="1:20" x14ac:dyDescent="0.25">
      <c r="A54" s="161"/>
      <c r="B54" s="161"/>
      <c r="C54" s="161"/>
      <c r="D54" s="161"/>
      <c r="E54" s="162"/>
      <c r="I54" s="161"/>
      <c r="K54" s="4"/>
      <c r="R54" s="162"/>
      <c r="S54" s="161"/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62"/>
  <sheetViews>
    <sheetView zoomScale="85" zoomScaleNormal="85" workbookViewId="0">
      <pane xSplit="1" ySplit="3" topLeftCell="B19" activePane="bottomRight" state="frozen"/>
      <selection activeCell="I16" sqref="I16"/>
      <selection pane="topRight" activeCell="I16" sqref="I16"/>
      <selection pane="bottomLeft" activeCell="I16" sqref="I16"/>
      <selection pane="bottomRight" activeCell="A2" sqref="A2:XFD35"/>
    </sheetView>
  </sheetViews>
  <sheetFormatPr defaultColWidth="8.8984375" defaultRowHeight="15.6" x14ac:dyDescent="0.25"/>
  <cols>
    <col min="1" max="1" width="10" style="2" customWidth="1"/>
    <col min="2" max="2" width="12.796875" style="1" customWidth="1"/>
    <col min="3" max="5" width="11.8984375" style="1" bestFit="1" customWidth="1"/>
    <col min="6" max="8" width="11.8984375" style="1" customWidth="1"/>
    <col min="9" max="9" width="14.69921875" style="1" customWidth="1"/>
    <col min="10" max="10" width="11.3984375" style="1" customWidth="1"/>
    <col min="11" max="11" width="14.09765625" style="1" customWidth="1"/>
    <col min="12" max="13" width="13.69921875" style="1" customWidth="1"/>
    <col min="14" max="14" width="21.3984375" style="1" customWidth="1"/>
    <col min="15" max="18" width="13.69921875" style="1" customWidth="1"/>
    <col min="19" max="19" width="10.19921875" style="1" bestFit="1" customWidth="1"/>
    <col min="20" max="16384" width="8.8984375" style="1"/>
  </cols>
  <sheetData>
    <row r="1" spans="1:23" ht="28.5" customHeight="1" x14ac:dyDescent="0.25">
      <c r="A1" s="185"/>
      <c r="B1" s="200" t="s">
        <v>281</v>
      </c>
      <c r="C1" s="200" t="s">
        <v>282</v>
      </c>
      <c r="D1" s="200" t="s">
        <v>283</v>
      </c>
      <c r="E1" s="201" t="s">
        <v>284</v>
      </c>
      <c r="F1" s="185"/>
      <c r="G1" s="185"/>
      <c r="H1" s="185"/>
      <c r="I1" s="185"/>
      <c r="J1" s="73"/>
      <c r="K1" s="72"/>
      <c r="L1" s="71"/>
    </row>
    <row r="2" spans="1:23" x14ac:dyDescent="0.25">
      <c r="H2" s="3"/>
      <c r="I2" s="3"/>
      <c r="M2" s="70">
        <v>1048656659</v>
      </c>
      <c r="N2" s="70">
        <v>119948</v>
      </c>
      <c r="O2" s="69" t="s">
        <v>386</v>
      </c>
      <c r="P2" s="69" t="s">
        <v>387</v>
      </c>
      <c r="Q2" s="69" t="s">
        <v>388</v>
      </c>
      <c r="R2" s="69" t="s">
        <v>39</v>
      </c>
      <c r="S2" s="69" t="s">
        <v>38</v>
      </c>
      <c r="T2" s="69" t="s">
        <v>389</v>
      </c>
      <c r="U2" s="69" t="s">
        <v>390</v>
      </c>
      <c r="W2" s="67"/>
    </row>
    <row r="3" spans="1:23" s="67" customFormat="1" ht="22.5" customHeight="1" x14ac:dyDescent="0.25">
      <c r="A3" s="68" t="s">
        <v>391</v>
      </c>
      <c r="B3" s="68" t="s">
        <v>392</v>
      </c>
      <c r="C3" s="68" t="s">
        <v>393</v>
      </c>
      <c r="D3" s="68" t="s">
        <v>394</v>
      </c>
      <c r="E3" s="68" t="s">
        <v>395</v>
      </c>
      <c r="F3" s="68" t="s">
        <v>396</v>
      </c>
      <c r="G3" s="136" t="s">
        <v>397</v>
      </c>
      <c r="H3" s="226" t="s">
        <v>398</v>
      </c>
      <c r="I3" s="227" t="s">
        <v>297</v>
      </c>
      <c r="J3" s="227" t="s">
        <v>399</v>
      </c>
      <c r="K3" s="227" t="s">
        <v>400</v>
      </c>
      <c r="L3" s="227" t="s">
        <v>401</v>
      </c>
      <c r="M3" s="67" t="s">
        <v>402</v>
      </c>
      <c r="N3" s="67" t="s">
        <v>403</v>
      </c>
      <c r="O3" s="67" t="s">
        <v>404</v>
      </c>
      <c r="P3" s="67" t="s">
        <v>405</v>
      </c>
      <c r="Q3" s="67" t="s">
        <v>406</v>
      </c>
      <c r="R3" s="67" t="s">
        <v>407</v>
      </c>
      <c r="S3" s="67" t="s">
        <v>408</v>
      </c>
      <c r="T3" s="67" t="s">
        <v>409</v>
      </c>
      <c r="U3" s="67" t="s">
        <v>410</v>
      </c>
      <c r="V3" s="67" t="s">
        <v>411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1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</row>
    <row r="37" spans="1:23" ht="19.95" customHeight="1" x14ac:dyDescent="0.25">
      <c r="A37" s="198"/>
      <c r="B37" s="1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</row>
    <row r="38" spans="1:23" x14ac:dyDescent="0.25">
      <c r="A38" s="62" t="s">
        <v>229</v>
      </c>
      <c r="B38" s="6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23" ht="16.2" thickBot="1" x14ac:dyDescent="0.3">
      <c r="A39" s="60"/>
    </row>
    <row r="40" spans="1:23" x14ac:dyDescent="0.25">
      <c r="A40" s="207" t="s">
        <v>228</v>
      </c>
      <c r="B40" s="219" t="s">
        <v>227</v>
      </c>
      <c r="C40" s="219"/>
      <c r="D40" s="194">
        <v>0.13650000000000001</v>
      </c>
      <c r="E40" s="220" t="s">
        <v>226</v>
      </c>
      <c r="F40" s="108"/>
      <c r="G40" s="108"/>
      <c r="H40" s="108"/>
      <c r="I40" s="191"/>
    </row>
    <row r="41" spans="1:23" x14ac:dyDescent="0.25">
      <c r="A41" s="213"/>
      <c r="B41" s="223" t="s">
        <v>225</v>
      </c>
      <c r="C41" s="223"/>
      <c r="D41" s="187">
        <v>0.15</v>
      </c>
      <c r="E41" s="221"/>
      <c r="F41" s="186"/>
      <c r="G41" s="186"/>
      <c r="H41" s="186"/>
      <c r="I41" s="191"/>
    </row>
    <row r="42" spans="1:23" x14ac:dyDescent="0.25">
      <c r="A42" s="213"/>
      <c r="B42" s="224" t="s">
        <v>224</v>
      </c>
      <c r="C42" s="224"/>
      <c r="D42" s="193">
        <v>0.17499999999999999</v>
      </c>
      <c r="E42" s="221"/>
      <c r="F42" s="186"/>
      <c r="G42" s="186"/>
      <c r="H42" s="186"/>
      <c r="I42" s="191"/>
    </row>
    <row r="43" spans="1:23" ht="16.2" thickBot="1" x14ac:dyDescent="0.3">
      <c r="A43" s="208"/>
      <c r="B43" s="225" t="s">
        <v>223</v>
      </c>
      <c r="C43" s="225"/>
      <c r="D43" s="192">
        <v>0.18</v>
      </c>
      <c r="E43" s="222"/>
      <c r="F43" s="186"/>
      <c r="G43" s="186"/>
      <c r="H43" s="186"/>
      <c r="I43" s="191"/>
      <c r="J43" s="32"/>
    </row>
    <row r="44" spans="1:23" ht="16.2" thickBot="1" x14ac:dyDescent="0.3">
      <c r="A44" s="190"/>
      <c r="B44" s="189" t="s">
        <v>222</v>
      </c>
      <c r="C44" s="188"/>
      <c r="D44" s="187"/>
      <c r="E44" s="186"/>
      <c r="F44" s="186"/>
      <c r="G44" s="186"/>
      <c r="H44" s="186"/>
      <c r="I44" s="50"/>
      <c r="J44" s="32"/>
    </row>
    <row r="45" spans="1:23" x14ac:dyDescent="0.25">
      <c r="A45" s="79" t="s">
        <v>221</v>
      </c>
      <c r="B45" s="87">
        <v>0.17499999999999999</v>
      </c>
      <c r="C45" s="86" t="s">
        <v>220</v>
      </c>
      <c r="D45" s="24"/>
      <c r="E45" s="33" t="s">
        <v>219</v>
      </c>
      <c r="F45" s="47">
        <f>E35-B46</f>
        <v>0</v>
      </c>
      <c r="G45" s="42" t="s">
        <v>218</v>
      </c>
      <c r="H45" s="41">
        <f>E35</f>
        <v>0</v>
      </c>
      <c r="I45" s="40" t="s">
        <v>215</v>
      </c>
      <c r="J45" s="39">
        <f>H47</f>
        <v>0</v>
      </c>
    </row>
    <row r="46" spans="1:23" x14ac:dyDescent="0.25">
      <c r="A46" s="79" t="s">
        <v>217</v>
      </c>
      <c r="B46" s="82">
        <f>ROUND(B48/1.1,0)</f>
        <v>0</v>
      </c>
      <c r="C46" s="84">
        <v>12500000</v>
      </c>
      <c r="D46" s="77"/>
      <c r="E46" s="33" t="s">
        <v>209</v>
      </c>
      <c r="F46" s="47">
        <f>C35-B48</f>
        <v>0</v>
      </c>
      <c r="G46" s="13"/>
      <c r="H46" s="12"/>
      <c r="I46" s="23"/>
      <c r="J46" s="10"/>
    </row>
    <row r="47" spans="1:23" x14ac:dyDescent="0.25">
      <c r="A47" s="79" t="s">
        <v>216</v>
      </c>
      <c r="B47" s="82">
        <f>+B48-B46</f>
        <v>0</v>
      </c>
      <c r="C47" s="63">
        <f>C46/10</f>
        <v>1250000</v>
      </c>
      <c r="D47" s="77"/>
      <c r="E47" s="33" t="s">
        <v>206</v>
      </c>
      <c r="F47" s="47">
        <f>B35</f>
        <v>0</v>
      </c>
      <c r="G47" s="13" t="s">
        <v>215</v>
      </c>
      <c r="H47" s="12">
        <f>F45</f>
        <v>0</v>
      </c>
      <c r="I47" s="23" t="s">
        <v>214</v>
      </c>
      <c r="J47" s="10">
        <f>D35</f>
        <v>0</v>
      </c>
    </row>
    <row r="48" spans="1:23" x14ac:dyDescent="0.25">
      <c r="A48" s="79" t="s">
        <v>213</v>
      </c>
      <c r="B48" s="78">
        <f>+E35*B45</f>
        <v>0</v>
      </c>
      <c r="C48" s="63">
        <f>C47+C46</f>
        <v>13750000</v>
      </c>
      <c r="D48" s="77"/>
      <c r="E48" s="33"/>
      <c r="F48" s="80"/>
      <c r="G48" s="13"/>
      <c r="H48" s="12"/>
      <c r="I48" s="23" t="s">
        <v>212</v>
      </c>
      <c r="J48" s="10">
        <f>B46</f>
        <v>0</v>
      </c>
    </row>
    <row r="49" spans="1:17" s="4" customFormat="1" x14ac:dyDescent="0.25">
      <c r="A49" s="27"/>
      <c r="B49" s="26"/>
      <c r="D49" s="9"/>
      <c r="G49" s="13"/>
      <c r="H49" s="12"/>
      <c r="I49" s="23" t="s">
        <v>211</v>
      </c>
      <c r="J49" s="10">
        <f>B47</f>
        <v>0</v>
      </c>
      <c r="O49" s="1"/>
      <c r="Q49" s="1"/>
    </row>
    <row r="50" spans="1:17" s="4" customFormat="1" x14ac:dyDescent="0.25">
      <c r="A50" s="20" t="s">
        <v>210</v>
      </c>
      <c r="B50" s="3"/>
      <c r="G50" s="13"/>
      <c r="H50" s="12"/>
      <c r="I50" s="23" t="s">
        <v>209</v>
      </c>
      <c r="J50" s="22">
        <f>F46-1</f>
        <v>-1</v>
      </c>
      <c r="K50" s="1" t="s">
        <v>208</v>
      </c>
      <c r="L50" s="1"/>
      <c r="M50" s="1"/>
      <c r="N50" s="1"/>
      <c r="O50" s="1"/>
      <c r="Q50" s="1"/>
    </row>
    <row r="51" spans="1:17" s="4" customFormat="1" x14ac:dyDescent="0.25">
      <c r="A51" s="20" t="s">
        <v>207</v>
      </c>
      <c r="B51" s="19"/>
      <c r="C51" s="18"/>
      <c r="D51" s="14"/>
      <c r="E51" s="14"/>
      <c r="F51" s="14"/>
      <c r="G51" s="13"/>
      <c r="H51" s="12"/>
      <c r="I51" s="11" t="s">
        <v>206</v>
      </c>
      <c r="J51" s="10">
        <f>B35</f>
        <v>0</v>
      </c>
      <c r="K51" s="15"/>
      <c r="Q51" s="1"/>
    </row>
    <row r="52" spans="1:17" s="4" customFormat="1" x14ac:dyDescent="0.25">
      <c r="A52" s="14"/>
      <c r="B52" s="17"/>
      <c r="C52" s="16"/>
      <c r="D52" s="14"/>
      <c r="E52" s="14"/>
      <c r="F52" s="14"/>
      <c r="G52" s="13"/>
      <c r="H52" s="12"/>
      <c r="I52" s="11"/>
      <c r="J52" s="10"/>
      <c r="K52" s="15"/>
      <c r="Q52" s="1"/>
    </row>
    <row r="53" spans="1:17" s="4" customFormat="1" x14ac:dyDescent="0.25">
      <c r="A53" s="4" t="s">
        <v>205</v>
      </c>
      <c r="G53" s="13"/>
      <c r="H53" s="12"/>
      <c r="I53" s="11"/>
      <c r="J53" s="10"/>
      <c r="K53" s="9"/>
      <c r="Q53" s="1"/>
    </row>
    <row r="54" spans="1:17" s="4" customFormat="1" ht="16.2" thickBot="1" x14ac:dyDescent="0.3">
      <c r="G54" s="8"/>
      <c r="H54" s="7">
        <f>SUM(H45:H51)</f>
        <v>0</v>
      </c>
      <c r="I54" s="7"/>
      <c r="J54" s="6">
        <f>SUM(J45:J52)</f>
        <v>-1</v>
      </c>
      <c r="Q54" s="1"/>
    </row>
    <row r="55" spans="1:17" s="4" customFormat="1" x14ac:dyDescent="0.25">
      <c r="B55" s="4" t="s">
        <v>204</v>
      </c>
      <c r="C55" s="4" t="s">
        <v>203</v>
      </c>
      <c r="D55" s="5"/>
      <c r="Q55" s="1"/>
    </row>
    <row r="56" spans="1:17" s="4" customFormat="1" x14ac:dyDescent="0.25">
      <c r="D56" s="5"/>
      <c r="Q56" s="1"/>
    </row>
    <row r="57" spans="1:17" s="4" customFormat="1" x14ac:dyDescent="0.25">
      <c r="D57" s="5"/>
      <c r="J57" s="1"/>
      <c r="Q57" s="1"/>
    </row>
    <row r="58" spans="1:17" x14ac:dyDescent="0.25">
      <c r="I58"/>
    </row>
    <row r="62" spans="1:17" x14ac:dyDescent="0.25">
      <c r="M62" s="3">
        <f>123727841-123715241</f>
        <v>12600</v>
      </c>
    </row>
  </sheetData>
  <mergeCells count="6">
    <mergeCell ref="A40:A43"/>
    <mergeCell ref="B40:C40"/>
    <mergeCell ref="E40:E43"/>
    <mergeCell ref="B41:C41"/>
    <mergeCell ref="B42:C42"/>
    <mergeCell ref="B43:C43"/>
  </mergeCells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W58"/>
  <sheetViews>
    <sheetView tabSelected="1"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D12" sqref="D12"/>
    </sheetView>
  </sheetViews>
  <sheetFormatPr defaultColWidth="8.8984375" defaultRowHeight="15.6" x14ac:dyDescent="0.25"/>
  <cols>
    <col min="1" max="1" width="10" style="2" customWidth="1"/>
    <col min="2" max="6" width="12.796875" style="1" customWidth="1"/>
    <col min="7" max="7" width="11.8984375" style="1" bestFit="1" customWidth="1"/>
    <col min="8" max="8" width="16.69921875" style="1" customWidth="1"/>
    <col min="9" max="9" width="11.8984375" style="1" bestFit="1" customWidth="1"/>
    <col min="10" max="12" width="11.8984375" style="1" customWidth="1"/>
    <col min="13" max="13" width="11.3984375" style="1" bestFit="1" customWidth="1"/>
    <col min="14" max="14" width="11.3984375" style="1" customWidth="1"/>
    <col min="15" max="15" width="14.09765625" style="1" customWidth="1"/>
    <col min="16" max="17" width="13.69921875" style="1" customWidth="1"/>
    <col min="18" max="18" width="21.3984375" style="1" customWidth="1"/>
    <col min="19" max="20" width="13.69921875" style="1" customWidth="1"/>
    <col min="21" max="16384" width="8.8984375" style="1"/>
  </cols>
  <sheetData>
    <row r="1" spans="1:23" ht="28.5" customHeight="1" x14ac:dyDescent="0.25">
      <c r="A1" s="204"/>
      <c r="B1" s="200" t="s">
        <v>285</v>
      </c>
      <c r="C1" s="200" t="s">
        <v>286</v>
      </c>
      <c r="D1" s="200" t="s">
        <v>287</v>
      </c>
      <c r="E1" s="201" t="s">
        <v>288</v>
      </c>
      <c r="F1" s="204"/>
      <c r="G1" s="204"/>
      <c r="H1" s="204"/>
      <c r="I1" s="204"/>
      <c r="J1" s="204"/>
      <c r="K1" s="204"/>
      <c r="L1" s="204"/>
      <c r="M1" s="204"/>
      <c r="N1" s="204"/>
      <c r="S1" s="204"/>
      <c r="T1" s="204"/>
    </row>
    <row r="2" spans="1:23" x14ac:dyDescent="0.25">
      <c r="H2" s="3"/>
      <c r="I2" s="3"/>
      <c r="M2" s="70">
        <v>1048656659</v>
      </c>
      <c r="N2" s="70">
        <v>119948</v>
      </c>
      <c r="O2" s="69" t="s">
        <v>412</v>
      </c>
      <c r="P2" s="69" t="s">
        <v>413</v>
      </c>
      <c r="Q2" s="69" t="s">
        <v>414</v>
      </c>
      <c r="R2" s="69" t="s">
        <v>39</v>
      </c>
      <c r="S2" s="69" t="s">
        <v>415</v>
      </c>
      <c r="T2" s="69" t="s">
        <v>416</v>
      </c>
      <c r="U2" s="69" t="s">
        <v>36</v>
      </c>
      <c r="W2" s="67"/>
    </row>
    <row r="3" spans="1:23" s="67" customFormat="1" ht="22.5" customHeight="1" x14ac:dyDescent="0.25">
      <c r="A3" s="68" t="s">
        <v>35</v>
      </c>
      <c r="B3" s="68" t="s">
        <v>312</v>
      </c>
      <c r="C3" s="68" t="s">
        <v>360</v>
      </c>
      <c r="D3" s="68" t="s">
        <v>417</v>
      </c>
      <c r="E3" s="68" t="s">
        <v>418</v>
      </c>
      <c r="F3" s="68" t="s">
        <v>315</v>
      </c>
      <c r="G3" s="136" t="s">
        <v>251</v>
      </c>
      <c r="H3" s="226" t="s">
        <v>419</v>
      </c>
      <c r="I3" s="227" t="s">
        <v>420</v>
      </c>
      <c r="J3" s="227" t="s">
        <v>298</v>
      </c>
      <c r="K3" s="227" t="s">
        <v>421</v>
      </c>
      <c r="L3" s="227" t="s">
        <v>300</v>
      </c>
      <c r="M3" s="67" t="s">
        <v>422</v>
      </c>
      <c r="N3" s="67" t="s">
        <v>30</v>
      </c>
      <c r="O3" s="67" t="s">
        <v>423</v>
      </c>
      <c r="P3" s="67" t="s">
        <v>28</v>
      </c>
      <c r="Q3" s="67" t="s">
        <v>27</v>
      </c>
      <c r="R3" s="67" t="s">
        <v>375</v>
      </c>
      <c r="S3" s="67" t="s">
        <v>424</v>
      </c>
      <c r="T3" s="67" t="s">
        <v>326</v>
      </c>
      <c r="U3" s="67" t="s">
        <v>24</v>
      </c>
      <c r="V3" s="67" t="s">
        <v>425</v>
      </c>
      <c r="W3" s="1"/>
    </row>
    <row r="4" spans="1:23" ht="19.95" customHeight="1" x14ac:dyDescent="0.25">
      <c r="A4" s="64">
        <v>46082</v>
      </c>
      <c r="B4" s="228"/>
      <c r="C4" s="228"/>
      <c r="D4" s="228">
        <f>V4</f>
        <v>0</v>
      </c>
      <c r="E4" s="228"/>
      <c r="F4" s="63">
        <f t="shared" ref="F4:F34" si="0">+B4+D4+E4+C4</f>
        <v>0</v>
      </c>
      <c r="G4" s="197"/>
      <c r="H4" s="229"/>
      <c r="I4" s="63"/>
      <c r="J4" s="65">
        <f t="shared" ref="J4:J34" si="1">+B4-I4</f>
        <v>0</v>
      </c>
      <c r="K4" s="65"/>
      <c r="L4" s="65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 x14ac:dyDescent="0.25">
      <c r="A5" s="64">
        <v>46083</v>
      </c>
      <c r="B5" s="228"/>
      <c r="C5" s="228"/>
      <c r="D5" s="228">
        <f t="shared" ref="D5:D34" si="3">V5</f>
        <v>0</v>
      </c>
      <c r="E5" s="228"/>
      <c r="F5" s="63">
        <f t="shared" si="0"/>
        <v>0</v>
      </c>
      <c r="G5" s="197"/>
      <c r="H5" s="229"/>
      <c r="I5" s="63"/>
      <c r="J5" s="65">
        <f t="shared" si="1"/>
        <v>0</v>
      </c>
      <c r="K5" s="65"/>
      <c r="L5" s="65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 x14ac:dyDescent="0.25">
      <c r="A6" s="64">
        <v>46084</v>
      </c>
      <c r="B6" s="228"/>
      <c r="C6" s="228"/>
      <c r="D6" s="228">
        <f t="shared" si="3"/>
        <v>0</v>
      </c>
      <c r="E6" s="228"/>
      <c r="F6" s="63">
        <f t="shared" si="0"/>
        <v>0</v>
      </c>
      <c r="G6" s="197"/>
      <c r="H6" s="229"/>
      <c r="I6" s="63"/>
      <c r="J6" s="65">
        <f t="shared" si="1"/>
        <v>0</v>
      </c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 x14ac:dyDescent="0.25">
      <c r="A7" s="64">
        <v>46085</v>
      </c>
      <c r="B7" s="228"/>
      <c r="C7" s="228"/>
      <c r="D7" s="228">
        <f t="shared" si="3"/>
        <v>0</v>
      </c>
      <c r="E7" s="228"/>
      <c r="F7" s="63">
        <f t="shared" si="0"/>
        <v>0</v>
      </c>
      <c r="G7" s="197"/>
      <c r="H7" s="229"/>
      <c r="I7" s="63"/>
      <c r="J7" s="65">
        <f t="shared" si="1"/>
        <v>0</v>
      </c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 x14ac:dyDescent="0.25">
      <c r="A8" s="64">
        <v>46086</v>
      </c>
      <c r="B8" s="228"/>
      <c r="C8" s="228"/>
      <c r="D8" s="228">
        <f t="shared" si="3"/>
        <v>0</v>
      </c>
      <c r="E8" s="228"/>
      <c r="F8" s="63">
        <f t="shared" si="0"/>
        <v>0</v>
      </c>
      <c r="G8" s="197"/>
      <c r="H8" s="229"/>
      <c r="I8" s="63"/>
      <c r="J8" s="65">
        <f t="shared" si="1"/>
        <v>0</v>
      </c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66"/>
    </row>
    <row r="9" spans="1:23" s="66" customFormat="1" ht="19.95" customHeight="1" x14ac:dyDescent="0.25">
      <c r="A9" s="64">
        <v>46087</v>
      </c>
      <c r="B9" s="228"/>
      <c r="C9" s="228"/>
      <c r="D9" s="228">
        <f t="shared" si="3"/>
        <v>0</v>
      </c>
      <c r="E9" s="228"/>
      <c r="F9" s="63">
        <f t="shared" si="0"/>
        <v>0</v>
      </c>
      <c r="G9" s="197"/>
      <c r="H9" s="229"/>
      <c r="I9" s="63"/>
      <c r="J9" s="65">
        <f t="shared" si="1"/>
        <v>0</v>
      </c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 x14ac:dyDescent="0.25">
      <c r="A10" s="64">
        <v>46088</v>
      </c>
      <c r="B10" s="228"/>
      <c r="C10" s="228"/>
      <c r="D10" s="228">
        <f t="shared" si="3"/>
        <v>0</v>
      </c>
      <c r="E10" s="228"/>
      <c r="F10" s="63">
        <f t="shared" si="0"/>
        <v>0</v>
      </c>
      <c r="G10" s="197"/>
      <c r="H10" s="229"/>
      <c r="I10" s="63"/>
      <c r="J10" s="65">
        <f t="shared" si="1"/>
        <v>0</v>
      </c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 x14ac:dyDescent="0.25">
      <c r="A11" s="64">
        <v>46089</v>
      </c>
      <c r="B11" s="228"/>
      <c r="C11" s="228"/>
      <c r="D11" s="228">
        <f t="shared" si="3"/>
        <v>0</v>
      </c>
      <c r="E11" s="228"/>
      <c r="F11" s="63">
        <f t="shared" si="0"/>
        <v>0</v>
      </c>
      <c r="G11" s="197"/>
      <c r="H11" s="229"/>
      <c r="I11" s="63"/>
      <c r="J11" s="65">
        <f t="shared" si="1"/>
        <v>0</v>
      </c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 x14ac:dyDescent="0.25">
      <c r="A12" s="64">
        <v>46090</v>
      </c>
      <c r="B12" s="228"/>
      <c r="C12" s="228"/>
      <c r="D12" s="228">
        <f t="shared" si="3"/>
        <v>0</v>
      </c>
      <c r="E12" s="228"/>
      <c r="F12" s="63">
        <f t="shared" si="0"/>
        <v>0</v>
      </c>
      <c r="G12" s="197"/>
      <c r="H12" s="229"/>
      <c r="I12" s="63"/>
      <c r="J12" s="65">
        <f t="shared" si="1"/>
        <v>0</v>
      </c>
      <c r="K12" s="65"/>
      <c r="L12" s="65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 x14ac:dyDescent="0.25">
      <c r="A13" s="64">
        <v>46091</v>
      </c>
      <c r="B13" s="228"/>
      <c r="C13" s="228"/>
      <c r="D13" s="228">
        <f t="shared" si="3"/>
        <v>0</v>
      </c>
      <c r="E13" s="228"/>
      <c r="F13" s="63">
        <f t="shared" si="0"/>
        <v>0</v>
      </c>
      <c r="G13" s="197"/>
      <c r="H13" s="229"/>
      <c r="I13" s="63"/>
      <c r="J13" s="65">
        <f t="shared" si="1"/>
        <v>0</v>
      </c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 x14ac:dyDescent="0.25">
      <c r="A14" s="64">
        <v>46092</v>
      </c>
      <c r="B14" s="228"/>
      <c r="C14" s="228"/>
      <c r="D14" s="228">
        <f t="shared" si="3"/>
        <v>0</v>
      </c>
      <c r="E14" s="228"/>
      <c r="F14" s="63">
        <f t="shared" si="0"/>
        <v>0</v>
      </c>
      <c r="G14" s="197"/>
      <c r="H14" s="229"/>
      <c r="I14" s="63"/>
      <c r="J14" s="65">
        <f t="shared" si="1"/>
        <v>0</v>
      </c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 x14ac:dyDescent="0.25">
      <c r="A15" s="64">
        <v>46093</v>
      </c>
      <c r="B15" s="228"/>
      <c r="C15" s="228"/>
      <c r="D15" s="228">
        <f t="shared" si="3"/>
        <v>0</v>
      </c>
      <c r="E15" s="228"/>
      <c r="F15" s="63">
        <f t="shared" si="0"/>
        <v>0</v>
      </c>
      <c r="G15" s="197"/>
      <c r="H15" s="229"/>
      <c r="I15" s="63"/>
      <c r="J15" s="65">
        <f t="shared" si="1"/>
        <v>0</v>
      </c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 x14ac:dyDescent="0.25">
      <c r="A16" s="64">
        <v>46094</v>
      </c>
      <c r="B16" s="228"/>
      <c r="C16" s="228"/>
      <c r="D16" s="228">
        <f t="shared" si="3"/>
        <v>0</v>
      </c>
      <c r="E16" s="228"/>
      <c r="F16" s="63">
        <f t="shared" si="0"/>
        <v>0</v>
      </c>
      <c r="G16" s="197"/>
      <c r="H16" s="229"/>
      <c r="I16" s="63"/>
      <c r="J16" s="65">
        <f t="shared" si="1"/>
        <v>0</v>
      </c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 x14ac:dyDescent="0.25">
      <c r="A17" s="64">
        <v>46095</v>
      </c>
      <c r="B17" s="228"/>
      <c r="C17" s="228"/>
      <c r="D17" s="228">
        <f t="shared" si="3"/>
        <v>0</v>
      </c>
      <c r="E17" s="228"/>
      <c r="F17" s="63">
        <f t="shared" si="0"/>
        <v>0</v>
      </c>
      <c r="G17" s="197"/>
      <c r="H17" s="229"/>
      <c r="I17" s="63"/>
      <c r="J17" s="65">
        <f t="shared" si="1"/>
        <v>0</v>
      </c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 x14ac:dyDescent="0.25">
      <c r="A18" s="64">
        <v>46096</v>
      </c>
      <c r="B18" s="228"/>
      <c r="C18" s="228"/>
      <c r="D18" s="228">
        <f t="shared" si="3"/>
        <v>0</v>
      </c>
      <c r="E18" s="228"/>
      <c r="F18" s="63">
        <f t="shared" si="0"/>
        <v>0</v>
      </c>
      <c r="G18" s="197"/>
      <c r="H18" s="229"/>
      <c r="I18" s="63"/>
      <c r="J18" s="65">
        <f t="shared" si="1"/>
        <v>0</v>
      </c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 x14ac:dyDescent="0.25">
      <c r="A19" s="64">
        <v>46097</v>
      </c>
      <c r="B19" s="228"/>
      <c r="C19" s="228"/>
      <c r="D19" s="228">
        <f t="shared" si="3"/>
        <v>0</v>
      </c>
      <c r="E19" s="228"/>
      <c r="F19" s="63">
        <f t="shared" si="0"/>
        <v>0</v>
      </c>
      <c r="G19" s="197"/>
      <c r="H19" s="229"/>
      <c r="I19" s="63"/>
      <c r="J19" s="65">
        <f t="shared" si="1"/>
        <v>0</v>
      </c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 x14ac:dyDescent="0.25">
      <c r="A20" s="64">
        <v>46098</v>
      </c>
      <c r="B20" s="228"/>
      <c r="C20" s="228"/>
      <c r="D20" s="228">
        <f t="shared" si="3"/>
        <v>0</v>
      </c>
      <c r="E20" s="228"/>
      <c r="F20" s="63">
        <f t="shared" si="0"/>
        <v>0</v>
      </c>
      <c r="G20" s="197"/>
      <c r="H20" s="229"/>
      <c r="I20" s="63"/>
      <c r="J20" s="65">
        <f t="shared" si="1"/>
        <v>0</v>
      </c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 x14ac:dyDescent="0.25">
      <c r="A21" s="64">
        <v>46099</v>
      </c>
      <c r="B21" s="228"/>
      <c r="C21" s="228"/>
      <c r="D21" s="228">
        <f t="shared" si="3"/>
        <v>0</v>
      </c>
      <c r="E21" s="228"/>
      <c r="F21" s="63">
        <f t="shared" si="0"/>
        <v>0</v>
      </c>
      <c r="G21" s="197"/>
      <c r="H21" s="229"/>
      <c r="I21" s="63"/>
      <c r="J21" s="65">
        <f t="shared" si="1"/>
        <v>0</v>
      </c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 x14ac:dyDescent="0.25">
      <c r="A22" s="64">
        <v>46100</v>
      </c>
      <c r="B22" s="228"/>
      <c r="C22" s="228"/>
      <c r="D22" s="228">
        <f t="shared" si="3"/>
        <v>0</v>
      </c>
      <c r="E22" s="228"/>
      <c r="F22" s="63">
        <f t="shared" si="0"/>
        <v>0</v>
      </c>
      <c r="G22" s="197"/>
      <c r="H22" s="229"/>
      <c r="I22" s="63"/>
      <c r="J22" s="65">
        <f t="shared" si="1"/>
        <v>0</v>
      </c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 x14ac:dyDescent="0.25">
      <c r="A23" s="64">
        <v>46101</v>
      </c>
      <c r="B23" s="228"/>
      <c r="C23" s="228"/>
      <c r="D23" s="228">
        <f t="shared" si="3"/>
        <v>0</v>
      </c>
      <c r="E23" s="228"/>
      <c r="F23" s="63">
        <f t="shared" si="0"/>
        <v>0</v>
      </c>
      <c r="G23" s="197"/>
      <c r="H23" s="229"/>
      <c r="I23" s="63"/>
      <c r="J23" s="65">
        <f t="shared" si="1"/>
        <v>0</v>
      </c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 x14ac:dyDescent="0.25">
      <c r="A24" s="64">
        <v>46102</v>
      </c>
      <c r="B24" s="228"/>
      <c r="C24" s="228"/>
      <c r="D24" s="228">
        <f t="shared" si="3"/>
        <v>0</v>
      </c>
      <c r="E24" s="228"/>
      <c r="F24" s="63">
        <f t="shared" si="0"/>
        <v>0</v>
      </c>
      <c r="G24" s="197"/>
      <c r="H24" s="229"/>
      <c r="I24" s="63"/>
      <c r="J24" s="65">
        <f t="shared" si="1"/>
        <v>0</v>
      </c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 x14ac:dyDescent="0.25">
      <c r="A25" s="64">
        <v>46103</v>
      </c>
      <c r="B25" s="228"/>
      <c r="C25" s="228"/>
      <c r="D25" s="228">
        <f t="shared" si="3"/>
        <v>0</v>
      </c>
      <c r="E25" s="228"/>
      <c r="F25" s="63">
        <f t="shared" si="0"/>
        <v>0</v>
      </c>
      <c r="G25" s="197"/>
      <c r="H25" s="229"/>
      <c r="I25" s="63"/>
      <c r="J25" s="65">
        <f t="shared" si="1"/>
        <v>0</v>
      </c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 x14ac:dyDescent="0.25">
      <c r="A26" s="64">
        <v>46104</v>
      </c>
      <c r="B26" s="228"/>
      <c r="C26" s="228"/>
      <c r="D26" s="228">
        <f t="shared" si="3"/>
        <v>0</v>
      </c>
      <c r="E26" s="228"/>
      <c r="F26" s="63">
        <f t="shared" si="0"/>
        <v>0</v>
      </c>
      <c r="G26" s="197"/>
      <c r="H26" s="229"/>
      <c r="I26" s="63"/>
      <c r="J26" s="65">
        <f t="shared" si="1"/>
        <v>0</v>
      </c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 x14ac:dyDescent="0.25">
      <c r="A27" s="64">
        <v>46105</v>
      </c>
      <c r="B27" s="228"/>
      <c r="C27" s="228"/>
      <c r="D27" s="228">
        <f t="shared" si="3"/>
        <v>0</v>
      </c>
      <c r="E27" s="228"/>
      <c r="F27" s="63">
        <f t="shared" si="0"/>
        <v>0</v>
      </c>
      <c r="G27" s="197"/>
      <c r="H27" s="229"/>
      <c r="I27" s="63"/>
      <c r="J27" s="65">
        <f t="shared" si="1"/>
        <v>0</v>
      </c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 x14ac:dyDescent="0.25">
      <c r="A28" s="64">
        <v>46106</v>
      </c>
      <c r="B28" s="228"/>
      <c r="C28" s="228"/>
      <c r="D28" s="228">
        <f t="shared" si="3"/>
        <v>0</v>
      </c>
      <c r="E28" s="228"/>
      <c r="F28" s="63">
        <f t="shared" si="0"/>
        <v>0</v>
      </c>
      <c r="G28" s="197"/>
      <c r="H28" s="229"/>
      <c r="I28" s="63"/>
      <c r="J28" s="65">
        <f t="shared" si="1"/>
        <v>0</v>
      </c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 x14ac:dyDescent="0.25">
      <c r="A29" s="64">
        <v>46107</v>
      </c>
      <c r="B29" s="228"/>
      <c r="C29" s="228"/>
      <c r="D29" s="228">
        <f t="shared" si="3"/>
        <v>0</v>
      </c>
      <c r="E29" s="228"/>
      <c r="F29" s="63">
        <f t="shared" si="0"/>
        <v>0</v>
      </c>
      <c r="G29" s="197"/>
      <c r="H29" s="229"/>
      <c r="I29" s="63"/>
      <c r="J29" s="65">
        <f t="shared" si="1"/>
        <v>0</v>
      </c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 x14ac:dyDescent="0.25">
      <c r="A30" s="64">
        <v>46108</v>
      </c>
      <c r="B30" s="228"/>
      <c r="C30" s="228"/>
      <c r="D30" s="228">
        <f t="shared" si="3"/>
        <v>0</v>
      </c>
      <c r="E30" s="228"/>
      <c r="F30" s="63">
        <f t="shared" si="0"/>
        <v>0</v>
      </c>
      <c r="G30" s="197"/>
      <c r="H30" s="229"/>
      <c r="I30" s="63"/>
      <c r="J30" s="65">
        <f t="shared" si="1"/>
        <v>0</v>
      </c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 x14ac:dyDescent="0.25">
      <c r="A31" s="64">
        <v>46109</v>
      </c>
      <c r="B31" s="228"/>
      <c r="C31" s="228"/>
      <c r="D31" s="228">
        <f t="shared" si="3"/>
        <v>0</v>
      </c>
      <c r="E31" s="228"/>
      <c r="F31" s="63">
        <f t="shared" si="0"/>
        <v>0</v>
      </c>
      <c r="G31" s="197"/>
      <c r="H31" s="229"/>
      <c r="I31" s="63"/>
      <c r="J31" s="65">
        <f t="shared" si="1"/>
        <v>0</v>
      </c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 x14ac:dyDescent="0.25">
      <c r="A32" s="64">
        <v>46110</v>
      </c>
      <c r="B32" s="228"/>
      <c r="C32" s="228"/>
      <c r="D32" s="228">
        <f t="shared" si="3"/>
        <v>0</v>
      </c>
      <c r="E32" s="228"/>
      <c r="F32" s="63">
        <f t="shared" si="0"/>
        <v>0</v>
      </c>
      <c r="G32" s="197"/>
      <c r="H32" s="229"/>
      <c r="I32" s="63"/>
      <c r="J32" s="65">
        <f t="shared" si="1"/>
        <v>0</v>
      </c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 x14ac:dyDescent="0.25">
      <c r="A33" s="64">
        <v>46111</v>
      </c>
      <c r="B33" s="228"/>
      <c r="C33" s="228"/>
      <c r="D33" s="228">
        <f t="shared" si="3"/>
        <v>0</v>
      </c>
      <c r="E33" s="228"/>
      <c r="F33" s="63">
        <f t="shared" si="0"/>
        <v>0</v>
      </c>
      <c r="G33" s="197"/>
      <c r="H33" s="229"/>
      <c r="I33" s="63"/>
      <c r="J33" s="65">
        <f t="shared" si="1"/>
        <v>0</v>
      </c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 x14ac:dyDescent="0.25">
      <c r="A34" s="64">
        <v>46112</v>
      </c>
      <c r="B34" s="228"/>
      <c r="C34" s="228"/>
      <c r="D34" s="228">
        <f t="shared" si="3"/>
        <v>0</v>
      </c>
      <c r="E34" s="228"/>
      <c r="F34" s="63">
        <f t="shared" si="0"/>
        <v>0</v>
      </c>
      <c r="G34" s="197"/>
      <c r="H34" s="229"/>
      <c r="I34" s="63"/>
      <c r="J34" s="65">
        <f t="shared" si="1"/>
        <v>0</v>
      </c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 x14ac:dyDescent="0.25">
      <c r="A35" s="86" t="s">
        <v>306</v>
      </c>
      <c r="B35" s="63">
        <f t="shared" ref="B35:V35" si="4">SUM(B4:B34)</f>
        <v>0</v>
      </c>
      <c r="C35" s="63">
        <f>SUM(C4:C34)</f>
        <v>0</v>
      </c>
      <c r="D35" s="63">
        <f t="shared" si="4"/>
        <v>0</v>
      </c>
      <c r="E35" s="63">
        <f t="shared" si="4"/>
        <v>0</v>
      </c>
      <c r="F35" s="63">
        <f>+B35+D35+E35</f>
        <v>0</v>
      </c>
      <c r="G35" s="63">
        <f t="shared" si="4"/>
        <v>0</v>
      </c>
      <c r="H35" s="63">
        <f t="shared" si="4"/>
        <v>0</v>
      </c>
      <c r="I35" s="63">
        <f t="shared" si="4"/>
        <v>0</v>
      </c>
      <c r="J35" s="63">
        <f t="shared" si="4"/>
        <v>0</v>
      </c>
      <c r="K35" s="63"/>
      <c r="L35" s="63">
        <f t="shared" si="4"/>
        <v>0</v>
      </c>
      <c r="M35" s="63">
        <f t="shared" si="4"/>
        <v>0</v>
      </c>
      <c r="N35" s="63">
        <f>SUM(N4:N34)</f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230"/>
    </row>
    <row r="36" spans="1:23" ht="19.95" customHeight="1" x14ac:dyDescent="0.25">
      <c r="A36" s="198"/>
      <c r="B36" s="202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3" ht="19.95" customHeight="1" x14ac:dyDescent="0.25">
      <c r="A37" s="198"/>
      <c r="B37" s="202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3" x14ac:dyDescent="0.25">
      <c r="A38" s="62" t="s">
        <v>246</v>
      </c>
      <c r="B38" s="61"/>
      <c r="C38" s="183"/>
      <c r="D38" s="183"/>
      <c r="E38" s="183"/>
      <c r="F38" s="18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3" x14ac:dyDescent="0.25">
      <c r="A39" s="60"/>
    </row>
    <row r="40" spans="1:23" x14ac:dyDescent="0.25">
      <c r="A40" s="190"/>
      <c r="B40" s="188"/>
      <c r="C40" s="188"/>
      <c r="D40" s="188"/>
      <c r="E40" s="196" t="s">
        <v>245</v>
      </c>
      <c r="F40" s="188"/>
      <c r="G40" s="188"/>
      <c r="H40" s="187"/>
      <c r="I40" s="186"/>
      <c r="J40" s="186"/>
      <c r="K40" s="186"/>
      <c r="L40" s="186"/>
      <c r="M40" s="50"/>
      <c r="N40" s="32"/>
      <c r="O40" s="24"/>
      <c r="P40" s="48"/>
      <c r="Q40" s="47"/>
    </row>
    <row r="41" spans="1:23" x14ac:dyDescent="0.25">
      <c r="A41" s="79" t="s">
        <v>244</v>
      </c>
      <c r="B41" s="151">
        <v>0.15</v>
      </c>
      <c r="C41" s="86" t="s">
        <v>243</v>
      </c>
      <c r="D41" s="85"/>
      <c r="E41" s="33" t="s">
        <v>242</v>
      </c>
      <c r="F41" s="32">
        <f>I35-B42</f>
        <v>0</v>
      </c>
      <c r="H41" s="24"/>
      <c r="J41" s="80"/>
      <c r="K41" s="80"/>
      <c r="L41" s="80"/>
      <c r="N41" s="37"/>
      <c r="O41" s="24"/>
      <c r="P41" s="48"/>
      <c r="Q41" s="47"/>
    </row>
    <row r="42" spans="1:23" x14ac:dyDescent="0.25">
      <c r="A42" s="79" t="s">
        <v>241</v>
      </c>
      <c r="B42" s="149">
        <f>ROUND(B44/1.1,0)</f>
        <v>0</v>
      </c>
      <c r="C42" s="195">
        <v>7000000</v>
      </c>
      <c r="D42" s="47"/>
      <c r="E42" s="33" t="s">
        <v>230</v>
      </c>
      <c r="F42" s="37">
        <f>I35-B44-H35</f>
        <v>0</v>
      </c>
      <c r="H42" s="77"/>
      <c r="J42" s="80"/>
      <c r="K42" s="80"/>
      <c r="L42" s="80"/>
      <c r="N42" s="32"/>
      <c r="O42" s="24"/>
      <c r="P42" s="48"/>
      <c r="Q42" s="47"/>
    </row>
    <row r="43" spans="1:23" x14ac:dyDescent="0.25">
      <c r="A43" s="79" t="s">
        <v>240</v>
      </c>
      <c r="B43" s="149">
        <f>+B44-B42</f>
        <v>0</v>
      </c>
      <c r="C43" s="84">
        <f>C42/10</f>
        <v>700000</v>
      </c>
      <c r="D43" s="47"/>
      <c r="E43" s="33"/>
      <c r="F43" s="32"/>
      <c r="H43" s="77"/>
      <c r="J43" s="80"/>
      <c r="K43" s="80"/>
      <c r="L43" s="80"/>
      <c r="N43" s="24"/>
      <c r="O43" s="24"/>
      <c r="P43" s="24"/>
      <c r="Q43" s="47"/>
    </row>
    <row r="44" spans="1:23" ht="16.2" thickBot="1" x14ac:dyDescent="0.3">
      <c r="A44" s="79" t="s">
        <v>239</v>
      </c>
      <c r="B44" s="148">
        <f>I35*B41</f>
        <v>0</v>
      </c>
      <c r="C44" s="84">
        <f>C43+C42</f>
        <v>7700000</v>
      </c>
      <c r="D44" s="99"/>
      <c r="E44" s="99"/>
      <c r="F44" s="99"/>
      <c r="H44" s="77"/>
      <c r="I44" s="33"/>
      <c r="J44" s="80"/>
      <c r="K44" s="80"/>
      <c r="L44" s="80"/>
      <c r="M44" s="24"/>
      <c r="N44" s="24"/>
      <c r="O44" s="24"/>
      <c r="P44" s="24"/>
      <c r="Q44" s="24"/>
    </row>
    <row r="45" spans="1:23" s="4" customFormat="1" x14ac:dyDescent="0.25">
      <c r="A45" s="27"/>
      <c r="B45" s="26"/>
      <c r="C45" s="26"/>
      <c r="D45" s="26"/>
      <c r="E45" s="26"/>
      <c r="F45" s="42" t="s">
        <v>238</v>
      </c>
      <c r="G45" s="41">
        <f>I35</f>
        <v>0</v>
      </c>
      <c r="H45" s="40" t="s">
        <v>235</v>
      </c>
      <c r="I45" s="39">
        <f>G47</f>
        <v>0</v>
      </c>
      <c r="O45" s="24"/>
      <c r="T45" s="1"/>
    </row>
    <row r="46" spans="1:23" s="4" customFormat="1" x14ac:dyDescent="0.25">
      <c r="A46" s="20" t="s">
        <v>237</v>
      </c>
      <c r="B46" s="3"/>
      <c r="C46" s="3"/>
      <c r="D46" s="3"/>
      <c r="E46" s="3"/>
      <c r="F46" s="13"/>
      <c r="G46" s="12"/>
      <c r="H46" s="23"/>
      <c r="I46" s="10"/>
      <c r="N46" s="77"/>
      <c r="O46" s="15"/>
      <c r="T46" s="1"/>
    </row>
    <row r="47" spans="1:23" s="4" customFormat="1" x14ac:dyDescent="0.25">
      <c r="A47" s="20" t="s">
        <v>236</v>
      </c>
      <c r="B47" s="19"/>
      <c r="C47" s="19"/>
      <c r="D47" s="19"/>
      <c r="E47" s="19"/>
      <c r="F47" s="13" t="s">
        <v>235</v>
      </c>
      <c r="G47" s="12">
        <f>F41</f>
        <v>0</v>
      </c>
      <c r="H47" s="23" t="s">
        <v>234</v>
      </c>
      <c r="I47" s="10">
        <f>H35</f>
        <v>0</v>
      </c>
      <c r="J47" s="14"/>
      <c r="K47" s="14"/>
      <c r="L47" s="14"/>
      <c r="N47" s="77"/>
      <c r="O47" s="15"/>
      <c r="T47" s="1"/>
    </row>
    <row r="48" spans="1:23" s="4" customFormat="1" x14ac:dyDescent="0.25">
      <c r="A48" s="14"/>
      <c r="B48" s="17"/>
      <c r="C48" s="17"/>
      <c r="D48" s="17"/>
      <c r="E48" s="17"/>
      <c r="F48" s="13"/>
      <c r="G48" s="12"/>
      <c r="H48" s="23" t="s">
        <v>233</v>
      </c>
      <c r="I48" s="10">
        <f>B42</f>
        <v>0</v>
      </c>
      <c r="J48" s="14"/>
      <c r="K48" s="14"/>
      <c r="L48" s="14"/>
      <c r="N48" s="77"/>
      <c r="O48" s="15"/>
      <c r="T48" s="1"/>
    </row>
    <row r="49" spans="1:20" s="4" customFormat="1" x14ac:dyDescent="0.25">
      <c r="A49" s="4" t="s">
        <v>232</v>
      </c>
      <c r="F49" s="13"/>
      <c r="G49" s="12"/>
      <c r="H49" s="23" t="s">
        <v>231</v>
      </c>
      <c r="I49" s="10">
        <f>B43</f>
        <v>0</v>
      </c>
      <c r="N49" s="9"/>
      <c r="O49" s="9"/>
      <c r="T49" s="1"/>
    </row>
    <row r="50" spans="1:20" s="4" customFormat="1" x14ac:dyDescent="0.25">
      <c r="F50" s="13"/>
      <c r="G50" s="12"/>
      <c r="H50" s="23" t="s">
        <v>230</v>
      </c>
      <c r="I50" s="22">
        <f>F42</f>
        <v>0</v>
      </c>
      <c r="T50" s="1"/>
    </row>
    <row r="51" spans="1:20" s="4" customFormat="1" x14ac:dyDescent="0.25">
      <c r="F51" s="13"/>
      <c r="G51" s="12"/>
      <c r="H51" s="11"/>
      <c r="I51" s="10">
        <f>F43</f>
        <v>0</v>
      </c>
      <c r="T51" s="1"/>
    </row>
    <row r="52" spans="1:20" s="4" customFormat="1" x14ac:dyDescent="0.25">
      <c r="F52" s="13"/>
      <c r="G52" s="12"/>
      <c r="H52" s="11"/>
      <c r="I52" s="10"/>
      <c r="T52" s="1"/>
    </row>
    <row r="53" spans="1:20" s="4" customFormat="1" x14ac:dyDescent="0.25">
      <c r="F53" s="13"/>
      <c r="G53" s="12"/>
      <c r="H53" s="11"/>
      <c r="I53" s="10"/>
      <c r="N53" s="1"/>
      <c r="T53" s="1"/>
    </row>
    <row r="54" spans="1:20" ht="16.2" thickBot="1" x14ac:dyDescent="0.3">
      <c r="F54" s="8"/>
      <c r="G54" s="7">
        <f>SUM(G45:G51)</f>
        <v>0</v>
      </c>
      <c r="H54" s="7"/>
      <c r="I54" s="6">
        <f>SUM(I45:I52)</f>
        <v>0</v>
      </c>
      <c r="M54"/>
    </row>
    <row r="58" spans="1:20" x14ac:dyDescent="0.25">
      <c r="Q58" s="3">
        <f>123727841-123715241</f>
        <v>12600</v>
      </c>
    </row>
  </sheetData>
  <phoneticPr fontId="6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8</vt:i4>
      </vt:variant>
    </vt:vector>
  </HeadingPairs>
  <TitlesOfParts>
    <vt:vector size="18" baseType="lpstr">
      <vt:lpstr>라멘짱(포스도입)</vt:lpstr>
      <vt:lpstr>삼송빵집(포스도입)</vt:lpstr>
      <vt:lpstr>한국집(포스도입)</vt:lpstr>
      <vt:lpstr>시마스시(포스도입) </vt:lpstr>
      <vt:lpstr>배꼽집</vt:lpstr>
      <vt:lpstr> 카페드페소니아pos</vt:lpstr>
      <vt:lpstr>태극당(정식매장)</vt:lpstr>
      <vt:lpstr>홍대개미(포스도입)</vt:lpstr>
      <vt:lpstr>사보텐(포스도입)</vt:lpstr>
      <vt:lpstr>마호가니(포스도입)</vt:lpstr>
      <vt:lpstr>' 카페드페소니아pos'!Print_Area</vt:lpstr>
      <vt:lpstr>'라멘짱(포스도입)'!Print_Area</vt:lpstr>
      <vt:lpstr>'마호가니(포스도입)'!Print_Area</vt:lpstr>
      <vt:lpstr>'사보텐(포스도입)'!Print_Area</vt:lpstr>
      <vt:lpstr>'삼송빵집(포스도입)'!Print_Area</vt:lpstr>
      <vt:lpstr>'시마스시(포스도입) '!Print_Area</vt:lpstr>
      <vt:lpstr>'태극당(정식매장)'!Print_Area</vt:lpstr>
      <vt:lpstr>'한국집(포스도입)'!Print_Area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</cp:lastModifiedBy>
  <dcterms:created xsi:type="dcterms:W3CDTF">2026-04-09T04:49:40Z</dcterms:created>
  <dcterms:modified xsi:type="dcterms:W3CDTF">2026-04-10T01:57:29Z</dcterms:modified>
</cp:coreProperties>
</file>
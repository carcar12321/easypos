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28" tabRatio="909" firstSheet="0" activeTab="0" autoFilterDateGrouping="1"/>
  </bookViews>
  <sheets>
    <sheet xmlns:r="http://schemas.openxmlformats.org/officeDocument/2006/relationships" name="(20260329) 검증" sheetId="1" state="visible" r:id="rId1"/>
    <sheet xmlns:r="http://schemas.openxmlformats.org/officeDocument/2006/relationships" name="라멘짱(포스도입)" sheetId="2" state="visible" r:id="rId2"/>
    <sheet xmlns:r="http://schemas.openxmlformats.org/officeDocument/2006/relationships" name="삼송빵집(포스도입)" sheetId="3" state="visible" r:id="rId3"/>
    <sheet xmlns:r="http://schemas.openxmlformats.org/officeDocument/2006/relationships" name="한국집(포스도입)" sheetId="4" state="visible" r:id="rId4"/>
    <sheet xmlns:r="http://schemas.openxmlformats.org/officeDocument/2006/relationships" name="시마스시(포스도입) " sheetId="5" state="visible" r:id="rId5"/>
    <sheet xmlns:r="http://schemas.openxmlformats.org/officeDocument/2006/relationships" name="배꼽집" sheetId="6" state="visible" r:id="rId6"/>
    <sheet xmlns:r="http://schemas.openxmlformats.org/officeDocument/2006/relationships" name=" 카페드페소니아pos" sheetId="7" state="visible" r:id="rId7"/>
    <sheet xmlns:r="http://schemas.openxmlformats.org/officeDocument/2006/relationships" name="태극당(정식매장)" sheetId="8" state="visible" r:id="rId8"/>
    <sheet xmlns:r="http://schemas.openxmlformats.org/officeDocument/2006/relationships" name="홍대개미(포스도입)" sheetId="9" state="visible" r:id="rId9"/>
    <sheet xmlns:r="http://schemas.openxmlformats.org/officeDocument/2006/relationships" name="사보텐(포스도입)" sheetId="10" state="visible" r:id="rId10"/>
    <sheet xmlns:r="http://schemas.openxmlformats.org/officeDocument/2006/relationships" name="마호가니(포스도입)" sheetId="11" state="visible" r:id="rId11"/>
  </sheets>
  <definedNames>
    <definedName name="_xlnm.Print_Area" localSheetId="1">'라멘짱(포스도입)'!$A$1:$D$35</definedName>
    <definedName name="_xlnm.Print_Area" localSheetId="2">'삼송빵집(포스도입)'!$A$1:$D$35</definedName>
    <definedName name="_xlnm.Print_Area" localSheetId="3">'한국집(포스도입)'!$A$1:$D$35</definedName>
    <definedName name="_xlnm.Print_Area" localSheetId="4">'시마스시(포스도입) '!$A$1:$D$35</definedName>
    <definedName name="_xlnm.Print_Area" localSheetId="6">' 카페드페소니아pos'!$A$1:$D$35</definedName>
    <definedName name="_xlnm.Print_Area" localSheetId="7">'태극당(정식매장)'!$A$1:$D$35</definedName>
    <definedName name="_xlnm.Print_Area" localSheetId="9">'사보텐(포스도입)'!$A$1:$D$35</definedName>
    <definedName name="_xlnm.Print_Area" localSheetId="10">'마호가니(포스도입)'!$A$1:$H$35</definedName>
  </definedNames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0_);[Red]\(0\)"/>
    <numFmt numFmtId="166" formatCode="m&quot;/&quot;d;@"/>
    <numFmt numFmtId="167" formatCode="0.0%"/>
    <numFmt numFmtId="168" formatCode="mm&quot;월&quot;\ dd&quot;일&quot;"/>
    <numFmt numFmtId="169" formatCode="yyyy-mm-dd h:mm:ss"/>
  </numFmts>
  <fonts count="27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theme="0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sz val="10"/>
    </font>
    <font>
      <name val="맑은 고딕"/>
      <charset val="129"/>
      <family val="3"/>
      <color rgb="FFFF0000"/>
      <sz val="10"/>
    </font>
    <font>
      <name val="맑은 고딕"/>
      <charset val="129"/>
      <family val="3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sz val="9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FF0000"/>
      <sz val="12"/>
    </font>
    <font>
      <name val="맑은 고딕"/>
      <charset val="129"/>
      <family val="3"/>
      <b val="1"/>
      <color rgb="FFFF0000"/>
      <sz val="18"/>
      <u val="single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rgb="FFFF0000"/>
      <sz val="9"/>
    </font>
    <font>
      <name val="맑은 고딕"/>
      <charset val="129"/>
      <family val="3"/>
      <b val="1"/>
      <sz val="11"/>
    </font>
    <font>
      <name val="돋움"/>
      <charset val="129"/>
      <family val="3"/>
      <color theme="10"/>
      <sz val="11"/>
      <u val="single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12"/>
    </font>
    <font>
      <name val="Dotum"/>
      <charset val="129"/>
      <family val="3"/>
      <color rgb="FF3F3F3F"/>
      <sz val="9"/>
    </font>
    <font>
      <name val="Dotum"/>
      <charset val="129"/>
      <family val="3"/>
      <sz val="9"/>
    </font>
    <font>
      <name val="맑은 고딕"/>
      <charset val="129"/>
      <family val="3"/>
      <b val="1"/>
      <sz val="18"/>
      <u val="single"/>
    </font>
    <font>
      <name val="맑은 고딕"/>
      <charset val="129"/>
      <family val="3"/>
      <sz val="10"/>
      <scheme val="minor"/>
    </font>
  </fonts>
  <fills count="1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rgb="FF000000"/>
      </patternFill>
    </fill>
    <fill>
      <patternFill patternType="solid">
        <fgColor rgb="FFFFFFFF"/>
        <bgColor rgb="FF000000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5" tint="0.3999755851924192"/>
      </right>
      <top style="thin">
        <color theme="5" tint="0.3999755851924192"/>
      </top>
      <bottom style="thin">
        <color theme="5" tint="0.399975585192419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4" fillId="0" borderId="0" applyAlignment="1">
      <alignment vertical="center"/>
    </xf>
    <xf numFmtId="41" fontId="4" fillId="0" borderId="0" applyAlignment="1">
      <alignment vertical="center"/>
    </xf>
    <xf numFmtId="0" fontId="2" fillId="2" borderId="0" applyAlignment="1">
      <alignment vertical="center"/>
    </xf>
    <xf numFmtId="0" fontId="3" fillId="3" borderId="0" applyAlignment="1">
      <alignment vertical="center"/>
    </xf>
    <xf numFmtId="0" fontId="1" fillId="0" borderId="0" applyAlignment="1">
      <alignment vertical="center"/>
    </xf>
    <xf numFmtId="9" fontId="4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</cellStyleXfs>
  <cellXfs count="355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4">
      <alignment vertical="center"/>
    </xf>
    <xf numFmtId="165" fontId="5" fillId="0" borderId="0" applyAlignment="1" pivotButton="0" quotePrefix="0" xfId="4">
      <alignment vertical="center"/>
    </xf>
    <xf numFmtId="164" fontId="5" fillId="0" borderId="1" applyAlignment="1" pivotButton="0" quotePrefix="0" xfId="1">
      <alignment horizontal="center" vertical="center"/>
    </xf>
    <xf numFmtId="164" fontId="5" fillId="0" borderId="2" applyAlignment="1" pivotButton="0" quotePrefix="0" xfId="1">
      <alignment horizontal="center" vertical="center"/>
    </xf>
    <xf numFmtId="166" fontId="5" fillId="0" borderId="3" applyAlignment="1" pivotButton="0" quotePrefix="0" xfId="0">
      <alignment horizontal="center" vertical="center"/>
    </xf>
    <xf numFmtId="0" fontId="5" fillId="0" borderId="0" applyAlignment="1" pivotButton="0" quotePrefix="0" xfId="4">
      <alignment vertical="center"/>
    </xf>
    <xf numFmtId="164" fontId="5" fillId="0" borderId="4" applyAlignment="1" pivotButton="0" quotePrefix="0" xfId="0">
      <alignment vertical="center"/>
    </xf>
    <xf numFmtId="164" fontId="5" fillId="0" borderId="0" applyAlignment="1" pivotButton="0" quotePrefix="0" xfId="1">
      <alignment horizontal="left" vertical="center"/>
    </xf>
    <xf numFmtId="164" fontId="5" fillId="0" borderId="0" applyAlignment="1" pivotButton="0" quotePrefix="0" xfId="1">
      <alignment horizontal="center" vertical="center"/>
    </xf>
    <xf numFmtId="0" fontId="5" fillId="0" borderId="5" applyAlignment="1" pivotButton="0" quotePrefix="0" xfId="0">
      <alignment vertical="center"/>
    </xf>
    <xf numFmtId="0" fontId="5" fillId="0" borderId="0" applyAlignment="1" pivotButton="0" quotePrefix="0" xfId="4">
      <alignment horizontal="center" vertical="center"/>
    </xf>
    <xf numFmtId="164" fontId="7" fillId="0" borderId="0" applyAlignment="1" pivotButton="0" quotePrefix="0" xfId="1">
      <alignment horizontal="center" vertical="center"/>
    </xf>
    <xf numFmtId="14" fontId="5" fillId="0" borderId="0" applyAlignment="1" pivotButton="0" quotePrefix="0" xfId="4">
      <alignment vertical="center"/>
    </xf>
    <xf numFmtId="14" fontId="5" fillId="0" borderId="0" applyAlignment="1" pivotButton="0" quotePrefix="0" xfId="1">
      <alignment vertical="center"/>
    </xf>
    <xf numFmtId="14" fontId="5" fillId="0" borderId="0" applyAlignment="1" pivotButton="0" quotePrefix="0" xfId="4">
      <alignment horizontal="center" vertical="center"/>
    </xf>
    <xf numFmtId="14" fontId="5" fillId="0" borderId="0" applyAlignment="1" pivotButton="0" quotePrefix="0" xfId="1">
      <alignment horizontal="center" vertical="center"/>
    </xf>
    <xf numFmtId="0" fontId="5" fillId="0" borderId="0" applyAlignment="1" pivotButton="0" quotePrefix="0" xfId="4">
      <alignment horizontal="left" vertical="center"/>
    </xf>
    <xf numFmtId="0" fontId="5" fillId="4" borderId="0" applyAlignment="1" pivotButton="0" quotePrefix="0" xfId="0">
      <alignment vertical="center"/>
    </xf>
    <xf numFmtId="164" fontId="5" fillId="5" borderId="4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164" fontId="5" fillId="0" borderId="0" applyAlignment="1" pivotButton="0" quotePrefix="0" xfId="1">
      <alignment horizontal="center" vertical="center"/>
    </xf>
    <xf numFmtId="0" fontId="5" fillId="0" borderId="6" applyAlignment="1" pivotButton="0" quotePrefix="0" xfId="4">
      <alignment vertical="center"/>
    </xf>
    <xf numFmtId="10" fontId="5" fillId="0" borderId="0" applyAlignment="1" pivotButton="0" quotePrefix="0" xfId="1">
      <alignment vertical="center"/>
    </xf>
    <xf numFmtId="10" fontId="5" fillId="0" borderId="0" applyAlignment="1" pivotButton="0" quotePrefix="0" xfId="5">
      <alignment horizontal="center" vertical="center"/>
    </xf>
    <xf numFmtId="164" fontId="8" fillId="0" borderId="0" applyAlignment="1" pivotButton="0" quotePrefix="0" xfId="1">
      <alignment vertical="center"/>
    </xf>
    <xf numFmtId="164" fontId="8" fillId="6" borderId="7" applyAlignment="1" pivotButton="0" quotePrefix="0" xfId="1">
      <alignment vertical="center"/>
    </xf>
    <xf numFmtId="164" fontId="8" fillId="7" borderId="8" applyAlignment="1" pivotButton="0" quotePrefix="0" xfId="1">
      <alignment vertical="center"/>
    </xf>
    <xf numFmtId="0" fontId="5" fillId="0" borderId="9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8" fillId="6" borderId="7" applyAlignment="1" pivotButton="0" quotePrefix="0" xfId="0">
      <alignment vertical="center"/>
    </xf>
    <xf numFmtId="164" fontId="8" fillId="7" borderId="11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64" fontId="8" fillId="7" borderId="8" applyAlignment="1" pivotButton="0" quotePrefix="0" xfId="0">
      <alignment vertical="center"/>
    </xf>
    <xf numFmtId="164" fontId="5" fillId="0" borderId="12" applyAlignment="1" pivotButton="0" quotePrefix="0" xfId="0">
      <alignment vertical="center"/>
    </xf>
    <xf numFmtId="0" fontId="5" fillId="0" borderId="13" applyAlignment="1" pivotButton="0" quotePrefix="0" xfId="1">
      <alignment vertical="center"/>
    </xf>
    <xf numFmtId="164" fontId="5" fillId="0" borderId="13" applyAlignment="1" pivotButton="0" quotePrefix="0" xfId="1">
      <alignment horizontal="center" vertical="center"/>
    </xf>
    <xf numFmtId="0" fontId="5" fillId="0" borderId="14" applyAlignment="1" pivotButton="0" quotePrefix="0" xfId="0">
      <alignment vertical="center"/>
    </xf>
    <xf numFmtId="10" fontId="8" fillId="0" borderId="0" applyAlignment="1" pivotButton="0" quotePrefix="0" xfId="1">
      <alignment horizontal="center" vertical="center"/>
    </xf>
    <xf numFmtId="10" fontId="8" fillId="0" borderId="7" applyAlignment="1" pivotButton="0" quotePrefix="0" xfId="1">
      <alignment horizontal="center" vertical="center"/>
    </xf>
    <xf numFmtId="10" fontId="8" fillId="0" borderId="8" applyAlignment="1" pivotButton="0" quotePrefix="0" xfId="1">
      <alignment vertical="center"/>
    </xf>
    <xf numFmtId="164" fontId="9" fillId="0" borderId="15" applyAlignment="1" pivotButton="0" quotePrefix="0" xfId="6">
      <alignment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5" fillId="0" borderId="13" applyAlignment="1" pivotButton="0" quotePrefix="0" xfId="0">
      <alignment vertical="center"/>
    </xf>
    <xf numFmtId="164" fontId="9" fillId="0" borderId="0" applyAlignment="1" pivotButton="0" quotePrefix="0" xfId="1">
      <alignment vertical="center"/>
    </xf>
    <xf numFmtId="10" fontId="5" fillId="0" borderId="16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10" fillId="0" borderId="0" applyAlignment="1" pivotButton="0" quotePrefix="0" xfId="7">
      <alignment vertical="center"/>
    </xf>
    <xf numFmtId="164" fontId="9" fillId="0" borderId="17" applyAlignment="1" pivotButton="0" quotePrefix="0" xfId="6">
      <alignment horizontal="center" vertical="center" wrapText="1"/>
    </xf>
    <xf numFmtId="0" fontId="11" fillId="7" borderId="2" applyAlignment="1" pivotButton="0" quotePrefix="0" xfId="0">
      <alignment horizontal="center" vertical="center"/>
    </xf>
    <xf numFmtId="164" fontId="9" fillId="0" borderId="1" applyAlignment="1" pivotButton="0" quotePrefix="0" xfId="1">
      <alignment horizontal="center" vertical="center"/>
    </xf>
    <xf numFmtId="164" fontId="9" fillId="0" borderId="1" applyAlignment="1" pivotButton="0" quotePrefix="0" xfId="1">
      <alignment horizontal="center" vertical="center"/>
    </xf>
    <xf numFmtId="167" fontId="9" fillId="7" borderId="2" applyAlignment="1" pivotButton="0" quotePrefix="0" xfId="5">
      <alignment horizontal="center" vertical="center"/>
    </xf>
    <xf numFmtId="0" fontId="10" fillId="0" borderId="3" applyAlignment="1" pivotButton="0" quotePrefix="0" xfId="7">
      <alignment horizontal="center" vertical="center"/>
    </xf>
    <xf numFmtId="164" fontId="9" fillId="0" borderId="18" applyAlignment="1" pivotButton="0" quotePrefix="0" xfId="6">
      <alignment horizontal="center" vertical="center" wrapText="1"/>
    </xf>
    <xf numFmtId="0" fontId="11" fillId="0" borderId="13" applyAlignment="1" pivotButton="0" quotePrefix="0" xfId="0">
      <alignment horizontal="center" vertical="center"/>
    </xf>
    <xf numFmtId="164" fontId="9" fillId="0" borderId="12" applyAlignment="1" pivotButton="0" quotePrefix="0" xfId="1">
      <alignment horizontal="center" vertical="center"/>
    </xf>
    <xf numFmtId="164" fontId="9" fillId="0" borderId="12" applyAlignment="1" pivotButton="0" quotePrefix="0" xfId="1">
      <alignment horizontal="center" vertical="center"/>
    </xf>
    <xf numFmtId="167" fontId="9" fillId="0" borderId="13" applyAlignment="1" pivotButton="0" quotePrefix="0" xfId="5">
      <alignment horizontal="center" vertical="center"/>
    </xf>
    <xf numFmtId="0" fontId="10" fillId="0" borderId="14" applyAlignment="1" pivotButton="0" quotePrefix="0" xfId="7">
      <alignment horizontal="center" vertical="center"/>
    </xf>
    <xf numFmtId="0" fontId="12" fillId="0" borderId="0" applyAlignment="1" pivotButton="0" quotePrefix="0" xfId="8">
      <alignment vertical="center"/>
    </xf>
    <xf numFmtId="0" fontId="5" fillId="0" borderId="6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164" fontId="5" fillId="0" borderId="7" applyAlignment="1" pivotButton="0" quotePrefix="0" xfId="1">
      <alignment vertical="center"/>
    </xf>
    <xf numFmtId="14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7" borderId="0" applyAlignment="1" pivotButton="0" quotePrefix="1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49" fontId="13" fillId="0" borderId="0" applyAlignment="1" pivotButton="0" quotePrefix="1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165" fontId="5" fillId="7" borderId="0" applyAlignment="1" pivotButton="0" quotePrefix="0" xfId="4">
      <alignment vertical="center"/>
    </xf>
    <xf numFmtId="0" fontId="5" fillId="7" borderId="0" applyAlignment="1" pivotButton="0" quotePrefix="0" xfId="4">
      <alignment vertical="center"/>
    </xf>
    <xf numFmtId="0" fontId="2" fillId="2" borderId="0" applyAlignment="1" pivotButton="0" quotePrefix="0" xfId="2">
      <alignment vertical="center"/>
    </xf>
    <xf numFmtId="0" fontId="7" fillId="0" borderId="0" applyAlignment="1" pivotButton="0" quotePrefix="0" xfId="4">
      <alignment horizontal="center" vertical="center"/>
    </xf>
    <xf numFmtId="164" fontId="8" fillId="7" borderId="7" applyAlignment="1" pivotButton="0" quotePrefix="0" xfId="1">
      <alignment vertical="center"/>
    </xf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10" applyAlignment="1" pivotButton="0" quotePrefix="0" xfId="0">
      <alignment vertical="center"/>
    </xf>
    <xf numFmtId="164" fontId="8" fillId="7" borderId="7" applyAlignment="1" pivotButton="0" quotePrefix="0" xfId="0">
      <alignment vertical="center"/>
    </xf>
    <xf numFmtId="0" fontId="3" fillId="0" borderId="0" applyAlignment="1" pivotButton="0" quotePrefix="0" xfId="3">
      <alignment vertical="center"/>
    </xf>
    <xf numFmtId="164" fontId="5" fillId="0" borderId="7" applyAlignment="1" pivotButton="0" quotePrefix="0" xfId="1">
      <alignment horizontal="center" vertical="center"/>
    </xf>
    <xf numFmtId="10" fontId="8" fillId="0" borderId="0" applyAlignment="1" pivotButton="0" quotePrefix="0" xfId="1">
      <alignment vertical="center"/>
    </xf>
    <xf numFmtId="0" fontId="5" fillId="0" borderId="7" applyAlignment="1" pivotButton="0" quotePrefix="0" xfId="0">
      <alignment horizontal="center" vertical="center"/>
    </xf>
    <xf numFmtId="10" fontId="8" fillId="0" borderId="7" applyAlignment="1" pivotButton="0" quotePrefix="0" xfId="1">
      <alignment vertical="center"/>
    </xf>
    <xf numFmtId="0" fontId="15" fillId="9" borderId="0" applyAlignment="1" pivotButton="0" quotePrefix="0" xfId="0">
      <alignment horizontal="center" vertical="center"/>
    </xf>
    <xf numFmtId="164" fontId="9" fillId="9" borderId="0" applyAlignment="1" pivotButton="0" quotePrefix="0" xfId="1">
      <alignment vertical="center"/>
    </xf>
    <xf numFmtId="0" fontId="15" fillId="0" borderId="0" applyAlignment="1" pivotButton="0" quotePrefix="0" xfId="0">
      <alignment horizontal="center" vertical="center"/>
    </xf>
    <xf numFmtId="167" fontId="9" fillId="0" borderId="2" applyAlignment="1" pivotButton="0" quotePrefix="0" xfId="5">
      <alignment horizontal="center" vertical="center"/>
    </xf>
    <xf numFmtId="0" fontId="11" fillId="0" borderId="2" applyAlignment="1" pivotButton="0" quotePrefix="0" xfId="0">
      <alignment horizontal="center" vertical="center"/>
    </xf>
    <xf numFmtId="164" fontId="9" fillId="0" borderId="2" applyAlignment="1" pivotButton="0" quotePrefix="0" xfId="1">
      <alignment horizontal="center" vertical="center"/>
    </xf>
    <xf numFmtId="167" fontId="9" fillId="7" borderId="7" applyAlignment="1" pivotButton="0" quotePrefix="0" xfId="5">
      <alignment horizontal="center" vertical="center"/>
    </xf>
    <xf numFmtId="0" fontId="11" fillId="7" borderId="7" applyAlignment="1" pivotButton="0" quotePrefix="0" xfId="0">
      <alignment horizontal="center" vertical="center"/>
    </xf>
    <xf numFmtId="167" fontId="9" fillId="7" borderId="13" applyAlignment="1" pivotButton="0" quotePrefix="0" xfId="5">
      <alignment horizontal="center" vertical="center"/>
    </xf>
    <xf numFmtId="164" fontId="11" fillId="7" borderId="13" applyAlignment="1" pivotButton="0" quotePrefix="0" xfId="1">
      <alignment horizontal="center" vertical="center"/>
    </xf>
    <xf numFmtId="164" fontId="9" fillId="0" borderId="13" applyAlignment="1" pivotButton="0" quotePrefix="0" xfId="1">
      <alignment horizontal="center" vertical="center"/>
    </xf>
    <xf numFmtId="164" fontId="11" fillId="7" borderId="7" applyAlignment="1" pivotButton="0" quotePrefix="0" xfId="1">
      <alignment horizontal="center" vertical="center"/>
    </xf>
    <xf numFmtId="164" fontId="5" fillId="9" borderId="0" applyAlignment="1" pivotButton="0" quotePrefix="0" xfId="1">
      <alignment horizontal="center"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164" fontId="9" fillId="0" borderId="13" applyAlignment="1" pivotButton="0" quotePrefix="0" xfId="6">
      <alignment vertical="center"/>
    </xf>
    <xf numFmtId="164" fontId="9" fillId="0" borderId="0" applyAlignment="1" pivotButton="0" quotePrefix="0" xfId="6">
      <alignment vertical="center"/>
    </xf>
    <xf numFmtId="10" fontId="5" fillId="0" borderId="0" applyAlignment="1" pivotButton="0" quotePrefix="0" xfId="0">
      <alignment vertical="center"/>
    </xf>
    <xf numFmtId="164" fontId="9" fillId="0" borderId="19" applyAlignment="1" pivotButton="0" quotePrefix="0" xfId="1">
      <alignment horizontal="center" vertical="center"/>
    </xf>
    <xf numFmtId="164" fontId="9" fillId="0" borderId="19" applyAlignment="1" pivotButton="0" quotePrefix="0" xfId="1">
      <alignment horizontal="center" vertical="center"/>
    </xf>
    <xf numFmtId="164" fontId="9" fillId="0" borderId="2" applyAlignment="1" pivotButton="0" quotePrefix="0" xfId="6">
      <alignment horizontal="center" vertical="center" wrapText="1"/>
    </xf>
    <xf numFmtId="167" fontId="16" fillId="0" borderId="2" applyAlignment="1" pivotButton="0" quotePrefix="0" xfId="5">
      <alignment horizontal="center" vertical="center"/>
    </xf>
    <xf numFmtId="164" fontId="9" fillId="0" borderId="10" applyAlignment="1" pivotButton="0" quotePrefix="0" xfId="6">
      <alignment horizontal="center" vertical="center" wrapText="1"/>
    </xf>
    <xf numFmtId="164" fontId="9" fillId="0" borderId="20" applyAlignment="1" pivotButton="0" quotePrefix="0" xfId="1">
      <alignment horizontal="center" vertical="center"/>
    </xf>
    <xf numFmtId="164" fontId="9" fillId="0" borderId="20" applyAlignment="1" pivotButton="0" quotePrefix="0" xfId="1">
      <alignment horizontal="center" vertical="center"/>
    </xf>
    <xf numFmtId="164" fontId="9" fillId="0" borderId="0" applyAlignment="1" pivotButton="0" quotePrefix="0" xfId="6">
      <alignment horizontal="center" vertical="center" wrapText="1"/>
    </xf>
    <xf numFmtId="167" fontId="9" fillId="7" borderId="0" applyAlignment="1" pivotButton="0" quotePrefix="0" xfId="5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0" fillId="0" borderId="5" applyAlignment="1" pivotButton="0" quotePrefix="0" xfId="7">
      <alignment horizontal="center" vertical="center"/>
    </xf>
    <xf numFmtId="164" fontId="9" fillId="0" borderId="21" applyAlignment="1" pivotButton="0" quotePrefix="0" xfId="1">
      <alignment horizontal="center" vertical="center"/>
    </xf>
    <xf numFmtId="164" fontId="9" fillId="0" borderId="21" applyAlignment="1" pivotButton="0" quotePrefix="0" xfId="1">
      <alignment horizontal="center" vertical="center"/>
    </xf>
    <xf numFmtId="164" fontId="9" fillId="0" borderId="13" applyAlignment="1" pivotButton="0" quotePrefix="0" xfId="6">
      <alignment horizontal="center" vertical="center" wrapText="1"/>
    </xf>
    <xf numFmtId="166" fontId="5" fillId="0" borderId="7" applyAlignment="1" pivotButton="0" quotePrefix="0" xfId="0">
      <alignment horizontal="center" vertical="center"/>
    </xf>
    <xf numFmtId="164" fontId="8" fillId="0" borderId="9" applyAlignment="1" pivotButton="0" quotePrefix="0" xfId="1">
      <alignment vertical="center"/>
    </xf>
    <xf numFmtId="164" fontId="8" fillId="0" borderId="9" applyAlignment="1" pivotButton="0" quotePrefix="0" xfId="0">
      <alignment vertical="center"/>
    </xf>
    <xf numFmtId="10" fontId="8" fillId="0" borderId="9" applyAlignment="1" pivotButton="0" quotePrefix="0" xfId="1">
      <alignment vertical="center"/>
    </xf>
    <xf numFmtId="164" fontId="9" fillId="0" borderId="16" applyAlignment="1" pivotButton="0" quotePrefix="0" xfId="6">
      <alignment vertical="center"/>
    </xf>
    <xf numFmtId="164" fontId="9" fillId="0" borderId="0" applyAlignment="1" pivotButton="0" quotePrefix="0" xfId="1">
      <alignment horizontal="center" vertical="center"/>
    </xf>
    <xf numFmtId="164" fontId="9" fillId="0" borderId="0" applyAlignment="1" pivotButton="0" quotePrefix="0" xfId="1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0" borderId="2" applyAlignment="1" pivotButton="0" quotePrefix="0" xfId="4">
      <alignment vertical="center"/>
    </xf>
    <xf numFmtId="10" fontId="5" fillId="0" borderId="2" applyAlignment="1" pivotButton="0" quotePrefix="0" xfId="4">
      <alignment horizontal="center" vertical="center"/>
    </xf>
    <xf numFmtId="0" fontId="5" fillId="0" borderId="3" applyAlignment="1" pivotButton="0" quotePrefix="0" xfId="4">
      <alignment horizontal="center" vertical="center"/>
    </xf>
    <xf numFmtId="164" fontId="5" fillId="0" borderId="4" applyAlignment="1" pivotButton="0" quotePrefix="0" xfId="1">
      <alignment horizontal="center" vertical="center"/>
    </xf>
    <xf numFmtId="0" fontId="5" fillId="0" borderId="0" applyAlignment="1" pivotButton="0" quotePrefix="0" xfId="1">
      <alignment horizontal="left" vertical="center"/>
    </xf>
    <xf numFmtId="164" fontId="5" fillId="0" borderId="5" applyAlignment="1" pivotButton="0" quotePrefix="0" xfId="1">
      <alignment horizontal="center" vertical="center"/>
    </xf>
    <xf numFmtId="164" fontId="8" fillId="0" borderId="4" applyAlignment="1" pivotButton="0" quotePrefix="0" xfId="0">
      <alignment vertical="center"/>
    </xf>
    <xf numFmtId="0" fontId="8" fillId="0" borderId="0" applyAlignment="1" pivotButton="0" quotePrefix="0" xfId="1">
      <alignment vertical="center"/>
    </xf>
    <xf numFmtId="3" fontId="5" fillId="0" borderId="0" applyAlignment="1" pivotButton="0" quotePrefix="0" xfId="4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/>
    </xf>
    <xf numFmtId="164" fontId="5" fillId="10" borderId="7" applyAlignment="1" pivotButton="0" quotePrefix="0" xfId="1">
      <alignment vertical="center"/>
    </xf>
    <xf numFmtId="164" fontId="5" fillId="0" borderId="0" applyAlignment="1" pivotButton="0" quotePrefix="0" xfId="1">
      <alignment horizontal="right" vertical="center"/>
    </xf>
    <xf numFmtId="164" fontId="5" fillId="10" borderId="7" applyAlignment="1" pivotButton="0" quotePrefix="0" xfId="1">
      <alignment horizontal="center" vertical="center"/>
    </xf>
    <xf numFmtId="0" fontId="5" fillId="10" borderId="7" applyAlignment="1" pivotButton="0" quotePrefix="0" xfId="0">
      <alignment horizontal="center" vertical="center"/>
    </xf>
    <xf numFmtId="10" fontId="5" fillId="0" borderId="7" applyAlignment="1" pivotButton="0" quotePrefix="0" xfId="1">
      <alignment vertical="center"/>
    </xf>
    <xf numFmtId="0" fontId="12" fillId="0" borderId="0" applyAlignment="1" pivotButton="0" quotePrefix="1" xfId="8">
      <alignment vertical="center"/>
    </xf>
    <xf numFmtId="3" fontId="5" fillId="0" borderId="0" applyAlignment="1" pivotButton="0" quotePrefix="0" xfId="0">
      <alignment vertical="center"/>
    </xf>
    <xf numFmtId="0" fontId="19" fillId="0" borderId="0" applyAlignment="1" pivotButton="0" quotePrefix="0" xfId="9">
      <alignment vertical="center"/>
    </xf>
    <xf numFmtId="0" fontId="7" fillId="0" borderId="22" applyAlignment="1" pivotButton="0" quotePrefix="0" xfId="0">
      <alignment horizontal="center" vertical="center"/>
    </xf>
    <xf numFmtId="168" fontId="8" fillId="0" borderId="0" applyAlignment="1" pivotButton="0" quotePrefix="0" xfId="4">
      <alignment vertical="center"/>
    </xf>
    <xf numFmtId="9" fontId="8" fillId="0" borderId="0" applyAlignment="1" pivotButton="0" quotePrefix="0" xfId="4">
      <alignment vertical="center"/>
    </xf>
    <xf numFmtId="0" fontId="8" fillId="0" borderId="0" applyAlignment="1" pivotButton="0" quotePrefix="0" xfId="4">
      <alignment vertical="center"/>
    </xf>
    <xf numFmtId="14" fontId="8" fillId="0" borderId="0" applyAlignment="1" pivotButton="0" quotePrefix="0" xfId="1">
      <alignment horizontal="center" vertical="center"/>
    </xf>
    <xf numFmtId="164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5" fillId="0" borderId="3" applyAlignment="1" pivotButton="0" quotePrefix="0" xfId="1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11" borderId="0" applyAlignment="1" pivotButton="0" quotePrefix="0" xfId="0">
      <alignment vertical="center"/>
    </xf>
    <xf numFmtId="0" fontId="5" fillId="0" borderId="5" applyAlignment="1" pivotButton="0" quotePrefix="0" xfId="1">
      <alignment vertical="center"/>
    </xf>
    <xf numFmtId="9" fontId="5" fillId="7" borderId="0" applyAlignment="1" pivotButton="0" quotePrefix="0" xfId="4">
      <alignment vertical="center"/>
    </xf>
    <xf numFmtId="164" fontId="5" fillId="7" borderId="7" applyAlignment="1" pivotButton="0" quotePrefix="0" xfId="1">
      <alignment vertical="center"/>
    </xf>
    <xf numFmtId="164" fontId="5" fillId="7" borderId="7" applyAlignment="1" pivotButton="0" quotePrefix="0" xfId="0">
      <alignment vertical="center"/>
    </xf>
    <xf numFmtId="9" fontId="5" fillId="0" borderId="0" applyAlignment="1" pivotButton="0" quotePrefix="0" xfId="4">
      <alignment vertical="center"/>
    </xf>
    <xf numFmtId="10" fontId="8" fillId="7" borderId="7" applyAlignment="1" pivotButton="0" quotePrefix="0" xfId="1">
      <alignment vertical="center"/>
    </xf>
    <xf numFmtId="166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7" applyAlignment="1" pivotButton="0" quotePrefix="0" xfId="1">
      <alignment vertical="center"/>
    </xf>
    <xf numFmtId="0" fontId="0" fillId="0" borderId="7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/>
    </xf>
    <xf numFmtId="167" fontId="9" fillId="0" borderId="0" applyAlignment="1" pivotButton="0" quotePrefix="0" xfId="5">
      <alignment horizontal="center" vertical="center"/>
    </xf>
    <xf numFmtId="0" fontId="11" fillId="7" borderId="13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10">
      <alignment vertical="center"/>
    </xf>
    <xf numFmtId="165" fontId="5" fillId="0" borderId="0" applyAlignment="1" pivotButton="0" quotePrefix="0" xfId="10">
      <alignment vertical="center"/>
    </xf>
    <xf numFmtId="0" fontId="5" fillId="0" borderId="0" applyAlignment="1" pivotButton="0" quotePrefix="0" xfId="10">
      <alignment vertical="center"/>
    </xf>
    <xf numFmtId="14" fontId="5" fillId="0" borderId="0" applyAlignment="1" pivotButton="0" quotePrefix="0" xfId="10">
      <alignment vertical="center"/>
    </xf>
    <xf numFmtId="0" fontId="5" fillId="0" borderId="0" applyAlignment="1" pivotButton="0" quotePrefix="0" xfId="1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7" fillId="0" borderId="0" applyAlignment="1" pivotButton="0" quotePrefix="0" xfId="10">
      <alignment horizontal="center" vertical="center"/>
    </xf>
    <xf numFmtId="14" fontId="5" fillId="0" borderId="0" applyAlignment="1" pivotButton="0" quotePrefix="0" xfId="10">
      <alignment horizontal="center" vertical="center"/>
    </xf>
    <xf numFmtId="0" fontId="5" fillId="0" borderId="0" applyAlignment="1" pivotButton="0" quotePrefix="0" xfId="10">
      <alignment horizontal="left" vertical="center"/>
    </xf>
    <xf numFmtId="10" fontId="5" fillId="0" borderId="0" applyAlignment="1" pivotButton="0" quotePrefix="0" xfId="10">
      <alignment horizontal="center" vertical="center"/>
    </xf>
    <xf numFmtId="0" fontId="5" fillId="0" borderId="0" applyAlignment="1" pivotButton="0" quotePrefix="0" xfId="10">
      <alignment horizontal="center" vertical="center"/>
    </xf>
    <xf numFmtId="10" fontId="5" fillId="7" borderId="7" applyAlignment="1" pivotButton="0" quotePrefix="0" xfId="1">
      <alignment vertical="center"/>
    </xf>
    <xf numFmtId="0" fontId="22" fillId="7" borderId="0" applyAlignment="1" pivotButton="0" quotePrefix="0" xfId="0">
      <alignment vertical="center"/>
    </xf>
    <xf numFmtId="0" fontId="22" fillId="7" borderId="0" applyAlignment="1" pivotButton="0" quotePrefix="0" xfId="0">
      <alignment horizontal="center" vertical="center"/>
    </xf>
    <xf numFmtId="0" fontId="22" fillId="7" borderId="0" applyAlignment="1" pivotButton="0" quotePrefix="0" xfId="0">
      <alignment vertical="center"/>
    </xf>
    <xf numFmtId="14" fontId="5" fillId="0" borderId="0" applyAlignment="1" pivotButton="0" quotePrefix="0" xfId="0">
      <alignment horizontal="left" vertical="center"/>
    </xf>
    <xf numFmtId="10" fontId="5" fillId="0" borderId="1" applyAlignment="1" pivotButton="0" quotePrefix="0" xfId="1">
      <alignment vertical="center"/>
    </xf>
    <xf numFmtId="14" fontId="5" fillId="0" borderId="3" applyAlignment="1" pivotButton="0" quotePrefix="0" xfId="0">
      <alignment horizontal="left" vertical="center"/>
    </xf>
    <xf numFmtId="0" fontId="22" fillId="7" borderId="0" applyAlignment="1" pivotButton="0" quotePrefix="0" xfId="0">
      <alignment vertical="center"/>
    </xf>
    <xf numFmtId="10" fontId="5" fillId="0" borderId="12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14" fontId="5" fillId="0" borderId="14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14" fontId="5" fillId="0" borderId="22" applyAlignment="1" pivotButton="0" quotePrefix="0" xfId="0">
      <alignment horizontal="center" vertical="center"/>
    </xf>
    <xf numFmtId="3" fontId="23" fillId="12" borderId="0" applyAlignment="1" pivotButton="0" quotePrefix="0" xfId="0">
      <alignment horizontal="right" vertical="center" wrapText="1"/>
    </xf>
    <xf numFmtId="3" fontId="23" fillId="13" borderId="0" applyAlignment="1" pivotButton="0" quotePrefix="0" xfId="0">
      <alignment horizontal="right" vertical="center" wrapText="1"/>
    </xf>
    <xf numFmtId="3" fontId="24" fillId="13" borderId="0" applyAlignment="1" pivotButton="0" quotePrefix="0" xfId="0">
      <alignment horizontal="right" vertical="center" wrapText="1"/>
    </xf>
    <xf numFmtId="0" fontId="14" fillId="0" borderId="0" applyAlignment="1" pivotButton="0" quotePrefix="0" xfId="0">
      <alignment vertical="center"/>
    </xf>
    <xf numFmtId="164" fontId="9" fillId="0" borderId="0" applyAlignment="1" pivotButton="0" quotePrefix="0" xfId="6">
      <alignment horizontal="center" vertical="center"/>
    </xf>
    <xf numFmtId="167" fontId="10" fillId="0" borderId="0" applyAlignment="1" pivotButton="0" quotePrefix="0" xfId="5">
      <alignment horizontal="center" vertical="center"/>
    </xf>
    <xf numFmtId="0" fontId="16" fillId="0" borderId="0" applyAlignment="1" pivotButton="0" quotePrefix="0" xfId="7">
      <alignment horizontal="center" vertical="center"/>
    </xf>
    <xf numFmtId="0" fontId="16" fillId="0" borderId="0" applyAlignment="1" pivotButton="0" quotePrefix="0" xfId="7">
      <alignment horizontal="left" vertical="center"/>
    </xf>
    <xf numFmtId="0" fontId="10" fillId="0" borderId="0" applyAlignment="1" pivotButton="0" quotePrefix="0" xfId="7">
      <alignment horizontal="center" vertical="center"/>
    </xf>
    <xf numFmtId="164" fontId="9" fillId="0" borderId="7" applyAlignment="1" pivotButton="0" quotePrefix="0" xfId="1">
      <alignment vertical="center"/>
    </xf>
    <xf numFmtId="164" fontId="9" fillId="0" borderId="2" applyAlignment="1" pivotButton="0" quotePrefix="0" xfId="6">
      <alignment horizontal="center" vertical="center"/>
    </xf>
    <xf numFmtId="167" fontId="10" fillId="0" borderId="2" applyAlignment="1" pivotButton="0" quotePrefix="0" xfId="5">
      <alignment horizontal="center" vertical="center"/>
    </xf>
    <xf numFmtId="0" fontId="16" fillId="0" borderId="2" applyAlignment="1" pivotButton="0" quotePrefix="0" xfId="7">
      <alignment horizontal="center" vertical="center"/>
    </xf>
    <xf numFmtId="164" fontId="9" fillId="0" borderId="0" applyAlignment="1" pivotButton="0" quotePrefix="0" xfId="6">
      <alignment horizontal="center" vertical="center"/>
    </xf>
    <xf numFmtId="167" fontId="10" fillId="7" borderId="0" applyAlignment="1" pivotButton="0" quotePrefix="0" xfId="5">
      <alignment horizontal="center" vertical="center"/>
    </xf>
    <xf numFmtId="0" fontId="16" fillId="7" borderId="0" applyAlignment="1" pivotButton="0" quotePrefix="0" xfId="7">
      <alignment horizontal="center" vertical="center"/>
    </xf>
    <xf numFmtId="0" fontId="16" fillId="0" borderId="0" applyAlignment="1" pivotButton="0" quotePrefix="0" xfId="7">
      <alignment horizontal="center" vertical="center"/>
    </xf>
    <xf numFmtId="164" fontId="9" fillId="0" borderId="13" applyAlignment="1" pivotButton="0" quotePrefix="0" xfId="6">
      <alignment horizontal="center" vertical="center" wrapText="1"/>
    </xf>
    <xf numFmtId="10" fontId="10" fillId="0" borderId="13" applyAlignment="1" pivotButton="0" quotePrefix="0" xfId="5">
      <alignment horizontal="center" vertical="center"/>
    </xf>
    <xf numFmtId="0" fontId="10" fillId="0" borderId="13" applyAlignment="1" pivotButton="0" quotePrefix="0" xfId="7">
      <alignment horizontal="center" vertical="center"/>
    </xf>
    <xf numFmtId="164" fontId="26" fillId="0" borderId="7" applyAlignment="1" pivotButton="0" quotePrefix="0" xfId="1">
      <alignment horizontal="center" vertical="center"/>
    </xf>
    <xf numFmtId="0" fontId="16" fillId="5" borderId="0" applyAlignment="1" pivotButton="0" quotePrefix="0" xfId="7">
      <alignment horizontal="center" vertical="center"/>
    </xf>
    <xf numFmtId="166" fontId="5" fillId="0" borderId="24" applyAlignment="1" pivotButton="0" quotePrefix="0" xfId="0">
      <alignment horizontal="center" vertical="center"/>
    </xf>
    <xf numFmtId="166" fontId="7" fillId="0" borderId="22" applyAlignment="1" pivotButton="0" quotePrefix="0" xfId="0">
      <alignment horizontal="center" vertical="center"/>
    </xf>
    <xf numFmtId="14" fontId="5" fillId="0" borderId="6" applyAlignment="1" pivotButton="0" quotePrefix="0" xfId="0">
      <alignment horizontal="center" vertical="center"/>
    </xf>
    <xf numFmtId="164" fontId="5" fillId="0" borderId="6" applyAlignment="1" pivotButton="0" quotePrefix="0" xfId="1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1" xfId="0">
      <alignment vertical="center"/>
    </xf>
    <xf numFmtId="164" fontId="7" fillId="0" borderId="26" applyAlignment="1" pivotButton="0" quotePrefix="0" xfId="6">
      <alignment horizontal="center" vertical="center"/>
    </xf>
    <xf numFmtId="164" fontId="7" fillId="0" borderId="25" applyAlignment="1" pivotButton="0" quotePrefix="0" xfId="6">
      <alignment horizontal="center" vertical="center"/>
    </xf>
    <xf numFmtId="164" fontId="7" fillId="0" borderId="7" applyAlignment="1" pivotButton="0" quotePrefix="0" xfId="6">
      <alignment horizontal="center" vertical="center"/>
    </xf>
    <xf numFmtId="164" fontId="5" fillId="8" borderId="7" applyAlignment="1" pivotButton="0" quotePrefix="0" xfId="6">
      <alignment vertical="center"/>
    </xf>
    <xf numFmtId="164" fontId="5" fillId="8" borderId="9" applyAlignment="1" pivotButton="0" quotePrefix="0" xfId="6">
      <alignment vertical="center"/>
    </xf>
    <xf numFmtId="164" fontId="5" fillId="0" borderId="23" applyAlignment="1" pivotButton="0" quotePrefix="0" xfId="6">
      <alignment vertical="center"/>
    </xf>
    <xf numFmtId="164" fontId="5" fillId="0" borderId="0" applyAlignment="1" pivotButton="0" quotePrefix="0" xfId="6">
      <alignment vertical="center"/>
    </xf>
    <xf numFmtId="164" fontId="5" fillId="0" borderId="7" applyAlignment="1" pivotButton="0" quotePrefix="0" xfId="6">
      <alignment vertical="center"/>
    </xf>
    <xf numFmtId="164" fontId="5" fillId="0" borderId="6" applyAlignment="1" pivotButton="0" quotePrefix="0" xfId="6">
      <alignment vertical="center"/>
    </xf>
    <xf numFmtId="164" fontId="5" fillId="0" borderId="0" applyAlignment="1" pivotButton="0" quotePrefix="0" xfId="6">
      <alignment vertical="center"/>
    </xf>
    <xf numFmtId="0" fontId="25" fillId="0" borderId="0" applyAlignment="1" pivotButton="0" quotePrefix="0" xfId="0">
      <alignment vertical="center"/>
    </xf>
    <xf numFmtId="0" fontId="0" fillId="0" borderId="0" pivotButton="0" quotePrefix="0" xfId="0"/>
    <xf numFmtId="14" fontId="0" fillId="0" borderId="0" pivotButton="0" quotePrefix="0" xfId="0"/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3" fillId="0" borderId="3" applyAlignment="1" pivotButton="0" quotePrefix="0" xfId="0">
      <alignment vertical="center"/>
    </xf>
    <xf numFmtId="164" fontId="3" fillId="0" borderId="1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166" fontId="7" fillId="0" borderId="22" applyAlignment="1" pivotButton="0" quotePrefix="0" xfId="0">
      <alignment horizontal="center" vertical="center"/>
    </xf>
    <xf numFmtId="164" fontId="7" fillId="0" borderId="26" applyAlignment="1" pivotButton="0" quotePrefix="0" xfId="6">
      <alignment horizontal="center" vertical="center"/>
    </xf>
    <xf numFmtId="164" fontId="7" fillId="0" borderId="25" applyAlignment="1" pivotButton="0" quotePrefix="0" xfId="6">
      <alignment horizontal="center" vertical="center"/>
    </xf>
    <xf numFmtId="164" fontId="7" fillId="0" borderId="7" applyAlignment="1" pivotButton="0" quotePrefix="0" xfId="6">
      <alignment horizontal="center" vertical="center"/>
    </xf>
    <xf numFmtId="164" fontId="5" fillId="8" borderId="7" applyAlignment="1" pivotButton="0" quotePrefix="0" xfId="6">
      <alignment vertical="center"/>
    </xf>
    <xf numFmtId="166" fontId="5" fillId="0" borderId="24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164" fontId="5" fillId="8" borderId="9" applyAlignment="1" pivotButton="0" quotePrefix="0" xfId="6">
      <alignment vertical="center"/>
    </xf>
    <xf numFmtId="164" fontId="5" fillId="0" borderId="23" applyAlignment="1" pivotButton="0" quotePrefix="0" xfId="6">
      <alignment vertical="center"/>
    </xf>
    <xf numFmtId="164" fontId="5" fillId="0" borderId="7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0" applyAlignment="1" pivotButton="0" quotePrefix="0" xfId="6">
      <alignment vertical="center"/>
    </xf>
    <xf numFmtId="164" fontId="5" fillId="0" borderId="0" applyAlignment="1" pivotButton="0" quotePrefix="0" xfId="1">
      <alignment vertical="center"/>
    </xf>
    <xf numFmtId="164" fontId="5" fillId="0" borderId="7" applyAlignment="1" pivotButton="0" quotePrefix="0" xfId="6">
      <alignment vertical="center"/>
    </xf>
    <xf numFmtId="164" fontId="5" fillId="0" borderId="6" applyAlignment="1" pivotButton="0" quotePrefix="0" xfId="1">
      <alignment vertical="center"/>
    </xf>
    <xf numFmtId="0" fontId="10" fillId="0" borderId="28" applyAlignment="1" pivotButton="0" quotePrefix="0" xfId="7">
      <alignment horizontal="center" vertical="center"/>
    </xf>
    <xf numFmtId="167" fontId="9" fillId="0" borderId="13" applyAlignment="1" pivotButton="0" quotePrefix="0" xfId="5">
      <alignment horizontal="center" vertical="center"/>
    </xf>
    <xf numFmtId="164" fontId="9" fillId="0" borderId="27" applyAlignment="1" pivotButton="0" quotePrefix="0" xfId="6">
      <alignment horizontal="center" vertical="center" wrapText="1"/>
    </xf>
    <xf numFmtId="164" fontId="9" fillId="0" borderId="29" applyAlignment="1" pivotButton="0" quotePrefix="0" xfId="1">
      <alignment horizontal="center" vertical="center"/>
    </xf>
    <xf numFmtId="164" fontId="9" fillId="0" borderId="12" applyAlignment="1" pivotButton="0" quotePrefix="0" xfId="1">
      <alignment horizontal="center" vertical="center"/>
    </xf>
    <xf numFmtId="164" fontId="5" fillId="0" borderId="0" applyAlignment="1" pivotButton="0" quotePrefix="0" xfId="1">
      <alignment horizontal="center" vertical="center"/>
    </xf>
    <xf numFmtId="0" fontId="0" fillId="0" borderId="3" pivotButton="0" quotePrefix="0" xfId="0"/>
    <xf numFmtId="167" fontId="9" fillId="7" borderId="2" applyAlignment="1" pivotButton="0" quotePrefix="0" xfId="5">
      <alignment horizontal="center" vertical="center"/>
    </xf>
    <xf numFmtId="0" fontId="0" fillId="0" borderId="17" pivotButton="0" quotePrefix="0" xfId="0"/>
    <xf numFmtId="0" fontId="0" fillId="0" borderId="1" pivotButton="0" quotePrefix="0" xfId="0"/>
    <xf numFmtId="164" fontId="9" fillId="0" borderId="1" applyAlignment="1" pivotButton="0" quotePrefix="0" xfId="1">
      <alignment horizontal="center" vertical="center"/>
    </xf>
    <xf numFmtId="164" fontId="9" fillId="0" borderId="15" applyAlignment="1" pivotButton="0" quotePrefix="0" xfId="6">
      <alignment vertical="center"/>
    </xf>
    <xf numFmtId="164" fontId="9" fillId="0" borderId="0" applyAlignment="1" pivotButton="0" quotePrefix="0" xfId="1">
      <alignment vertical="center"/>
    </xf>
    <xf numFmtId="164" fontId="5" fillId="0" borderId="13" applyAlignment="1" pivotButton="0" quotePrefix="0" xfId="1">
      <alignment horizontal="center" vertical="center"/>
    </xf>
    <xf numFmtId="164" fontId="5" fillId="0" borderId="12" applyAlignment="1" pivotButton="0" quotePrefix="0" xfId="0">
      <alignment vertical="center"/>
    </xf>
    <xf numFmtId="164" fontId="8" fillId="7" borderId="8" applyAlignment="1" pivotButton="0" quotePrefix="0" xfId="0">
      <alignment vertical="center"/>
    </xf>
    <xf numFmtId="164" fontId="8" fillId="6" borderId="7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64" fontId="8" fillId="7" borderId="11" applyAlignment="1" pivotButton="0" quotePrefix="0" xfId="0">
      <alignment vertical="center"/>
    </xf>
    <xf numFmtId="164" fontId="8" fillId="7" borderId="8" applyAlignment="1" pivotButton="0" quotePrefix="0" xfId="1">
      <alignment vertical="center"/>
    </xf>
    <xf numFmtId="164" fontId="8" fillId="6" borderId="7" applyAlignment="1" pivotButton="0" quotePrefix="0" xfId="1">
      <alignment vertical="center"/>
    </xf>
    <xf numFmtId="164" fontId="8" fillId="0" borderId="0" applyAlignment="1" pivotButton="0" quotePrefix="0" xfId="1">
      <alignment vertical="center"/>
    </xf>
    <xf numFmtId="164" fontId="5" fillId="5" borderId="4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164" fontId="5" fillId="0" borderId="0" applyAlignment="1" pivotButton="0" quotePrefix="0" xfId="1">
      <alignment horizontal="left" vertical="center"/>
    </xf>
    <xf numFmtId="166" fontId="5" fillId="0" borderId="3" applyAlignment="1" pivotButton="0" quotePrefix="0" xfId="0">
      <alignment horizontal="center" vertical="center"/>
    </xf>
    <xf numFmtId="164" fontId="5" fillId="0" borderId="2" applyAlignment="1" pivotButton="0" quotePrefix="0" xfId="1">
      <alignment horizontal="center" vertical="center"/>
    </xf>
    <xf numFmtId="164" fontId="5" fillId="0" borderId="1" applyAlignment="1" pivotButton="0" quotePrefix="0" xfId="1">
      <alignment horizontal="center" vertical="center"/>
    </xf>
    <xf numFmtId="165" fontId="5" fillId="0" borderId="0" applyAlignment="1" pivotButton="0" quotePrefix="0" xfId="4">
      <alignment vertical="center"/>
    </xf>
    <xf numFmtId="164" fontId="5" fillId="0" borderId="6" applyAlignment="1" pivotButton="0" quotePrefix="0" xfId="6">
      <alignment vertical="center"/>
    </xf>
    <xf numFmtId="164" fontId="5" fillId="9" borderId="0" applyAlignment="1" pivotButton="0" quotePrefix="0" xfId="1">
      <alignment horizontal="center" vertical="center"/>
    </xf>
    <xf numFmtId="164" fontId="11" fillId="7" borderId="7" applyAlignment="1" pivotButton="0" quotePrefix="0" xfId="1">
      <alignment horizontal="center" vertical="center"/>
    </xf>
    <xf numFmtId="167" fontId="9" fillId="7" borderId="7" applyAlignment="1" pivotButton="0" quotePrefix="0" xfId="5">
      <alignment horizontal="center" vertical="center"/>
    </xf>
    <xf numFmtId="164" fontId="9" fillId="0" borderId="30" applyAlignment="1" pivotButton="0" quotePrefix="0" xfId="1">
      <alignment horizontal="center" vertical="center"/>
    </xf>
    <xf numFmtId="164" fontId="11" fillId="7" borderId="13" applyAlignment="1" pivotButton="0" quotePrefix="0" xfId="1">
      <alignment horizontal="center" vertical="center"/>
    </xf>
    <xf numFmtId="167" fontId="9" fillId="7" borderId="13" applyAlignment="1" pivotButton="0" quotePrefix="0" xfId="5">
      <alignment horizontal="center" vertical="center"/>
    </xf>
    <xf numFmtId="0" fontId="0" fillId="0" borderId="2" pivotButton="0" quotePrefix="0" xfId="0"/>
    <xf numFmtId="167" fontId="9" fillId="0" borderId="2" applyAlignment="1" pivotButton="0" quotePrefix="0" xfId="5">
      <alignment horizontal="center" vertical="center"/>
    </xf>
    <xf numFmtId="164" fontId="9" fillId="9" borderId="0" applyAlignment="1" pivotButton="0" quotePrefix="0" xfId="1">
      <alignment vertical="center"/>
    </xf>
    <xf numFmtId="164" fontId="5" fillId="0" borderId="10" applyAlignment="1" pivotButton="0" quotePrefix="0" xfId="0">
      <alignment vertical="center"/>
    </xf>
    <xf numFmtId="164" fontId="8" fillId="7" borderId="7" applyAlignment="1" pivotButton="0" quotePrefix="0" xfId="0">
      <alignment vertical="center"/>
    </xf>
    <xf numFmtId="164" fontId="5" fillId="0" borderId="7" applyAlignment="1" pivotButton="0" quotePrefix="0" xfId="1">
      <alignment horizontal="center" vertical="center"/>
    </xf>
    <xf numFmtId="164" fontId="5" fillId="0" borderId="7" applyAlignment="1" pivotButton="0" quotePrefix="0" xfId="1">
      <alignment vertical="center"/>
    </xf>
    <xf numFmtId="164" fontId="8" fillId="7" borderId="7" applyAlignment="1" pivotButton="0" quotePrefix="0" xfId="1">
      <alignment vertical="center"/>
    </xf>
    <xf numFmtId="165" fontId="5" fillId="7" borderId="0" applyAlignment="1" pivotButton="0" quotePrefix="0" xfId="4">
      <alignment vertical="center"/>
    </xf>
    <xf numFmtId="164" fontId="9" fillId="0" borderId="13" applyAlignment="1" pivotButton="0" quotePrefix="0" xfId="6">
      <alignment horizontal="center" vertical="center" wrapText="1"/>
    </xf>
    <xf numFmtId="164" fontId="9" fillId="0" borderId="31" applyAlignment="1" pivotButton="0" quotePrefix="0" xfId="1">
      <alignment horizontal="center" vertical="center"/>
    </xf>
    <xf numFmtId="164" fontId="9" fillId="0" borderId="21" applyAlignment="1" pivotButton="0" quotePrefix="0" xfId="1">
      <alignment horizontal="center" vertical="center"/>
    </xf>
    <xf numFmtId="0" fontId="0" fillId="0" borderId="5" pivotButton="0" quotePrefix="0" xfId="0"/>
    <xf numFmtId="167" fontId="9" fillId="7" borderId="0" applyAlignment="1" pivotButton="0" quotePrefix="0" xfId="5">
      <alignment horizontal="center" vertical="center"/>
    </xf>
    <xf numFmtId="0" fontId="0" fillId="0" borderId="10" pivotButton="0" quotePrefix="0" xfId="0"/>
    <xf numFmtId="164" fontId="9" fillId="0" borderId="0" applyAlignment="1" pivotButton="0" quotePrefix="0" xfId="6">
      <alignment horizontal="center" vertical="center" wrapText="1"/>
    </xf>
    <xf numFmtId="0" fontId="0" fillId="0" borderId="20" pivotButton="0" quotePrefix="0" xfId="0"/>
    <xf numFmtId="164" fontId="9" fillId="0" borderId="20" applyAlignment="1" pivotButton="0" quotePrefix="0" xfId="1">
      <alignment horizontal="center" vertical="center"/>
    </xf>
    <xf numFmtId="167" fontId="16" fillId="0" borderId="2" applyAlignment="1" pivotButton="0" quotePrefix="0" xfId="5">
      <alignment horizontal="center" vertical="center"/>
    </xf>
    <xf numFmtId="164" fontId="9" fillId="0" borderId="2" applyAlignment="1" pivotButton="0" quotePrefix="0" xfId="6">
      <alignment horizontal="center" vertical="center" wrapText="1"/>
    </xf>
    <xf numFmtId="0" fontId="0" fillId="0" borderId="19" pivotButton="0" quotePrefix="0" xfId="0"/>
    <xf numFmtId="164" fontId="9" fillId="0" borderId="19" applyAlignment="1" pivotButton="0" quotePrefix="0" xfId="1">
      <alignment horizontal="center" vertical="center"/>
    </xf>
    <xf numFmtId="164" fontId="9" fillId="0" borderId="13" applyAlignment="1" pivotButton="0" quotePrefix="0" xfId="6">
      <alignment vertical="center"/>
    </xf>
    <xf numFmtId="164" fontId="9" fillId="0" borderId="0" applyAlignment="1" pivotButton="0" quotePrefix="0" xfId="6">
      <alignment vertical="center"/>
    </xf>
    <xf numFmtId="164" fontId="9" fillId="0" borderId="0" applyAlignment="1" pivotButton="0" quotePrefix="0" xfId="1">
      <alignment horizontal="center" vertical="center"/>
    </xf>
    <xf numFmtId="164" fontId="9" fillId="0" borderId="16" applyAlignment="1" pivotButton="0" quotePrefix="0" xfId="6">
      <alignment vertical="center"/>
    </xf>
    <xf numFmtId="164" fontId="8" fillId="0" borderId="9" applyAlignment="1" pivotButton="0" quotePrefix="0" xfId="0">
      <alignment vertical="center"/>
    </xf>
    <xf numFmtId="164" fontId="8" fillId="0" borderId="9" applyAlignment="1" pivotButton="0" quotePrefix="0" xfId="1">
      <alignment vertical="center"/>
    </xf>
    <xf numFmtId="164" fontId="5" fillId="10" borderId="7" applyAlignment="1" pivotButton="0" quotePrefix="0" xfId="1">
      <alignment horizontal="center" vertical="center"/>
    </xf>
    <xf numFmtId="164" fontId="5" fillId="10" borderId="7" applyAlignment="1" pivotButton="0" quotePrefix="0" xfId="1">
      <alignment vertical="center"/>
    </xf>
    <xf numFmtId="164" fontId="5" fillId="0" borderId="0" applyAlignment="1" pivotButton="0" quotePrefix="0" xfId="1">
      <alignment horizontal="right" vertical="center"/>
    </xf>
    <xf numFmtId="164" fontId="5" fillId="0" borderId="5" applyAlignment="1" pivotButton="0" quotePrefix="0" xfId="1">
      <alignment horizontal="center" vertical="center"/>
    </xf>
    <xf numFmtId="164" fontId="8" fillId="0" borderId="4" applyAlignment="1" pivotButton="0" quotePrefix="0" xfId="0">
      <alignment vertical="center"/>
    </xf>
    <xf numFmtId="164" fontId="5" fillId="0" borderId="4" applyAlignment="1" pivotButton="0" quotePrefix="0" xfId="1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7" borderId="7" applyAlignment="1" pivotButton="0" quotePrefix="0" xfId="0">
      <alignment vertical="center"/>
    </xf>
    <xf numFmtId="164" fontId="5" fillId="7" borderId="7" applyAlignment="1" pivotButton="0" quotePrefix="0" xfId="1">
      <alignment vertical="center"/>
    </xf>
    <xf numFmtId="164" fontId="5" fillId="0" borderId="3" applyAlignment="1" pivotButton="0" quotePrefix="0" xfId="1">
      <alignment horizontal="center" vertical="center"/>
    </xf>
    <xf numFmtId="164" fontId="5" fillId="0" borderId="1" applyAlignment="1" pivotButton="0" quotePrefix="0" xfId="0">
      <alignment vertical="center"/>
    </xf>
    <xf numFmtId="168" fontId="8" fillId="0" borderId="0" applyAlignment="1" pivotButton="0" quotePrefix="0" xfId="4">
      <alignment vertical="center"/>
    </xf>
    <xf numFmtId="167" fontId="9" fillId="0" borderId="0" applyAlignment="1" pivotButton="0" quotePrefix="0" xfId="5">
      <alignment horizontal="center" vertical="center"/>
    </xf>
    <xf numFmtId="164" fontId="0" fillId="0" borderId="7" applyAlignment="1" pivotButton="0" quotePrefix="0" xfId="1">
      <alignment vertical="center"/>
    </xf>
    <xf numFmtId="166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10">
      <alignment vertical="center"/>
    </xf>
    <xf numFmtId="0" fontId="0" fillId="0" borderId="13" pivotButton="0" quotePrefix="0" xfId="0"/>
    <xf numFmtId="164" fontId="9" fillId="0" borderId="30" applyAlignment="1" pivotButton="0" quotePrefix="0" xfId="6">
      <alignment horizontal="center" vertical="center" wrapText="1"/>
    </xf>
    <xf numFmtId="164" fontId="9" fillId="0" borderId="7" applyAlignment="1" pivotButton="0" quotePrefix="0" xfId="1">
      <alignment vertical="center"/>
    </xf>
    <xf numFmtId="167" fontId="10" fillId="0" borderId="0" applyAlignment="1" pivotButton="0" quotePrefix="0" xfId="5">
      <alignment horizontal="center" vertical="center"/>
    </xf>
    <xf numFmtId="164" fontId="9" fillId="0" borderId="0" applyAlignment="1" pivotButton="0" quotePrefix="0" xfId="6">
      <alignment horizontal="center" vertical="center"/>
    </xf>
    <xf numFmtId="167" fontId="10" fillId="7" borderId="0" applyAlignment="1" pivotButton="0" quotePrefix="0" xfId="5">
      <alignment horizontal="center" vertical="center"/>
    </xf>
    <xf numFmtId="167" fontId="10" fillId="0" borderId="2" applyAlignment="1" pivotButton="0" quotePrefix="0" xfId="5">
      <alignment horizontal="center" vertical="center"/>
    </xf>
    <xf numFmtId="164" fontId="26" fillId="0" borderId="7" applyAlignment="1" pivotButton="0" quotePrefix="0" xfId="1">
      <alignment horizontal="center" vertical="center"/>
    </xf>
  </cellXfs>
  <cellStyles count="11">
    <cellStyle name="표준" xfId="0" builtinId="0"/>
    <cellStyle name="쉼표 [0]" xfId="1" builtinId="6"/>
    <cellStyle name="보통" xfId="2" builtinId="28"/>
    <cellStyle name="강조색6" xfId="3" builtinId="49"/>
    <cellStyle name="표준 2 4" xfId="4"/>
    <cellStyle name="백분율 3" xfId="5"/>
    <cellStyle name="쉼표 [0] 3 2 2 2" xfId="6"/>
    <cellStyle name="표준 3 2 2 2" xfId="7"/>
    <cellStyle name="표준 4 3" xfId="8"/>
    <cellStyle name="하이퍼링크" xfId="9" builtinId="8"/>
    <cellStyle name="표준 2 7 3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60960</colOff>
      <row>56</row>
      <rowOff>30480</rowOff>
    </from>
    <ext cx="7200900" cy="3855720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39140" y="10271760"/>
          <a:ext cx="7200900" cy="3855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  <oneCellAnchor>
    <from>
      <col>0</col>
      <colOff>533400</colOff>
      <row>63</row>
      <rowOff>60960</rowOff>
    </from>
    <ext cx="14523720" cy="3916680"/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33400" y="11582400"/>
          <a:ext cx="14523720" cy="3916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7.4"/>
  <cols>
    <col width="10.8984375" bestFit="1" customWidth="1" style="243" min="2" max="2"/>
  </cols>
  <sheetData>
    <row r="1">
      <c r="A1" t="inlineStr">
        <is>
          <t>일자</t>
        </is>
      </c>
      <c r="B1" s="244" t="inlineStr">
        <is>
          <t>20260329</t>
        </is>
      </c>
    </row>
    <row r="2">
      <c r="A2" s="245" t="inlineStr">
        <is>
          <t>매장명</t>
        </is>
      </c>
      <c r="B2" s="245" t="inlineStr">
        <is>
          <t>현금매출액</t>
        </is>
      </c>
      <c r="C2" s="245" t="inlineStr">
        <is>
          <t>전자화폐</t>
        </is>
      </c>
      <c r="D2" s="245" t="inlineStr">
        <is>
          <t>카드매출액</t>
        </is>
      </c>
      <c r="E2" s="245" t="inlineStr">
        <is>
          <t>할인액</t>
        </is>
      </c>
      <c r="F2" s="245" t="inlineStr">
        <is>
          <t>총매출액</t>
        </is>
      </c>
      <c r="G2" s="246" t="inlineStr">
        <is>
          <t>입금기한</t>
        </is>
      </c>
      <c r="H2" s="247" t="inlineStr">
        <is>
          <t>입금일</t>
        </is>
      </c>
      <c r="I2" s="248" t="inlineStr">
        <is>
          <t>입금액</t>
        </is>
      </c>
      <c r="J2" s="248" t="inlineStr">
        <is>
          <t>잔액</t>
        </is>
      </c>
      <c r="K2" s="248" t="inlineStr">
        <is>
          <t>연체일</t>
        </is>
      </c>
      <c r="L2" s="248" t="inlineStr">
        <is>
          <t>연체료</t>
        </is>
      </c>
      <c r="M2" s="249" t="inlineStr">
        <is>
          <t>하나</t>
        </is>
      </c>
      <c r="N2" s="249" t="inlineStr">
        <is>
          <t>위쳇페이</t>
        </is>
      </c>
      <c r="O2" s="249" t="inlineStr">
        <is>
          <t>KB국민</t>
        </is>
      </c>
      <c r="P2" s="249" t="inlineStr">
        <is>
          <t>NH농협</t>
        </is>
      </c>
      <c r="Q2" s="249" t="inlineStr">
        <is>
          <t>비씨</t>
        </is>
      </c>
      <c r="R2" s="249" t="inlineStr">
        <is>
          <t>현대</t>
        </is>
      </c>
      <c r="S2" s="249" t="inlineStr">
        <is>
          <t>신한</t>
        </is>
      </c>
      <c r="T2" s="249" t="inlineStr">
        <is>
          <t>삼성</t>
        </is>
      </c>
      <c r="U2" s="249" t="inlineStr">
        <is>
          <t>롯데</t>
        </is>
      </c>
      <c r="V2" s="249" t="inlineStr">
        <is>
          <t>합계</t>
        </is>
      </c>
      <c r="W2" t="inlineStr">
        <is>
          <t>카드매출파일 합계</t>
        </is>
      </c>
      <c r="X2" t="inlineStr">
        <is>
          <t>일치여부</t>
        </is>
      </c>
    </row>
    <row r="3">
      <c r="A3" t="inlineStr">
        <is>
          <t>라멘짱</t>
        </is>
      </c>
      <c r="B3" t="n">
        <v>0</v>
      </c>
      <c r="C3" t="n">
        <v>0</v>
      </c>
      <c r="D3" t="n">
        <v>1273700</v>
      </c>
      <c r="E3" t="n">
        <v>0</v>
      </c>
      <c r="F3" t="n">
        <v>1273700</v>
      </c>
      <c r="M3" t="n">
        <v>214000</v>
      </c>
      <c r="N3" t="n">
        <v>0</v>
      </c>
      <c r="O3" t="n">
        <v>372200</v>
      </c>
      <c r="P3" t="n">
        <v>63400</v>
      </c>
      <c r="Q3" t="n">
        <v>197000</v>
      </c>
      <c r="R3" t="n">
        <v>65800</v>
      </c>
      <c r="S3" t="n">
        <v>159500</v>
      </c>
      <c r="T3" t="n">
        <v>128600</v>
      </c>
      <c r="U3" t="n">
        <v>73200</v>
      </c>
      <c r="V3">
        <f>SUM(M3:U3)</f>
        <v/>
      </c>
      <c r="W3" t="n">
        <v>1273700</v>
      </c>
      <c r="X3">
        <f>V3=W3</f>
        <v/>
      </c>
    </row>
    <row r="4">
      <c r="A4" t="inlineStr">
        <is>
          <t>삼송빵집</t>
        </is>
      </c>
      <c r="B4" t="n">
        <v>111950</v>
      </c>
      <c r="C4" t="n">
        <v>0</v>
      </c>
      <c r="D4" t="n">
        <v>3568030</v>
      </c>
      <c r="E4" t="n">
        <v>1920</v>
      </c>
      <c r="F4" t="n">
        <v>3681900</v>
      </c>
      <c r="M4" t="n">
        <v>285200</v>
      </c>
      <c r="N4" t="n">
        <v>19300</v>
      </c>
      <c r="O4" t="n">
        <v>733100</v>
      </c>
      <c r="P4" t="n">
        <v>317600</v>
      </c>
      <c r="Q4" t="n">
        <v>638150</v>
      </c>
      <c r="R4" t="n">
        <v>407300</v>
      </c>
      <c r="S4" t="n">
        <v>498480</v>
      </c>
      <c r="T4" t="n">
        <v>316700</v>
      </c>
      <c r="U4" t="n">
        <v>352200</v>
      </c>
      <c r="V4">
        <f>SUM(M4:U4)</f>
        <v/>
      </c>
      <c r="W4" t="n">
        <v>3568030</v>
      </c>
      <c r="X4">
        <f>V4=W4</f>
        <v/>
      </c>
    </row>
    <row r="5">
      <c r="A5" t="inlineStr">
        <is>
          <t>한국집</t>
        </is>
      </c>
      <c r="B5" t="n">
        <v>282000</v>
      </c>
      <c r="C5" t="n">
        <v>0</v>
      </c>
      <c r="D5" t="n">
        <v>4848000</v>
      </c>
      <c r="E5" t="n">
        <v>0</v>
      </c>
      <c r="F5" t="n">
        <v>5130000</v>
      </c>
      <c r="M5" t="n">
        <v>412000</v>
      </c>
      <c r="N5" t="n">
        <v>0</v>
      </c>
      <c r="O5" t="n">
        <v>724000</v>
      </c>
      <c r="P5" t="n">
        <v>746000</v>
      </c>
      <c r="Q5" t="n">
        <v>1002000</v>
      </c>
      <c r="R5" t="n">
        <v>657000</v>
      </c>
      <c r="S5" t="n">
        <v>658000</v>
      </c>
      <c r="T5" t="n">
        <v>278000</v>
      </c>
      <c r="U5" t="n">
        <v>371000</v>
      </c>
      <c r="V5">
        <f>SUM(M5:U5)</f>
        <v/>
      </c>
      <c r="W5" t="n">
        <v>4848000</v>
      </c>
      <c r="X5">
        <f>V5=W5</f>
        <v/>
      </c>
    </row>
    <row r="6">
      <c r="A6" t="inlineStr">
        <is>
          <t>시마스시</t>
        </is>
      </c>
      <c r="B6" t="n">
        <v>271000</v>
      </c>
      <c r="C6" t="n">
        <v>0</v>
      </c>
      <c r="D6" t="n">
        <v>7959000</v>
      </c>
      <c r="E6" t="n">
        <v>0</v>
      </c>
      <c r="F6" t="n">
        <v>8230000</v>
      </c>
      <c r="M6" t="n">
        <v>707500</v>
      </c>
      <c r="N6" t="n">
        <v>0</v>
      </c>
      <c r="O6" t="n">
        <v>1344000</v>
      </c>
      <c r="P6" t="n">
        <v>651000</v>
      </c>
      <c r="Q6" t="n">
        <v>1402500</v>
      </c>
      <c r="R6" t="n">
        <v>594500</v>
      </c>
      <c r="S6" t="n">
        <v>1874000</v>
      </c>
      <c r="T6" t="n">
        <v>761500</v>
      </c>
      <c r="U6" t="n">
        <v>624000</v>
      </c>
      <c r="V6">
        <f>SUM(M6:U6)</f>
        <v/>
      </c>
      <c r="W6" t="n">
        <v>7959000</v>
      </c>
      <c r="X6">
        <f>V6=W6</f>
        <v/>
      </c>
    </row>
    <row r="7">
      <c r="A7" t="inlineStr">
        <is>
          <t>배꼽집</t>
        </is>
      </c>
      <c r="B7" t="n">
        <v>34000</v>
      </c>
      <c r="C7" t="n">
        <v>0</v>
      </c>
      <c r="D7" t="n">
        <v>4190600</v>
      </c>
      <c r="E7" t="n">
        <v>1200</v>
      </c>
      <c r="F7" t="n">
        <v>4225800</v>
      </c>
      <c r="M7" t="n">
        <v>677480</v>
      </c>
      <c r="N7" t="n">
        <v>0</v>
      </c>
      <c r="O7" t="n">
        <v>1217560</v>
      </c>
      <c r="P7" t="n">
        <v>374120</v>
      </c>
      <c r="Q7" t="n">
        <v>600000</v>
      </c>
      <c r="R7" t="n">
        <v>101000</v>
      </c>
      <c r="S7" t="n">
        <v>282040</v>
      </c>
      <c r="T7" t="n">
        <v>388080</v>
      </c>
      <c r="U7" t="n">
        <v>550320</v>
      </c>
      <c r="V7">
        <f>SUM(M7:U7)</f>
        <v/>
      </c>
      <c r="W7" t="n">
        <v>4190600</v>
      </c>
      <c r="X7">
        <f>V7=W7</f>
        <v/>
      </c>
    </row>
    <row r="8">
      <c r="A8" t="inlineStr">
        <is>
          <t>카페드페소니아</t>
        </is>
      </c>
      <c r="B8" t="n">
        <v>0</v>
      </c>
      <c r="C8" t="n">
        <v>0</v>
      </c>
      <c r="D8" t="n">
        <v>997600</v>
      </c>
      <c r="E8" t="n">
        <v>4300</v>
      </c>
      <c r="F8" t="n">
        <v>1001900</v>
      </c>
      <c r="M8" t="n">
        <v>73400</v>
      </c>
      <c r="N8" t="n">
        <v>0</v>
      </c>
      <c r="O8" t="n">
        <v>304300</v>
      </c>
      <c r="P8" t="n">
        <v>114400</v>
      </c>
      <c r="Q8" t="n">
        <v>171700</v>
      </c>
      <c r="R8" t="n">
        <v>109850</v>
      </c>
      <c r="S8" t="n">
        <v>102550</v>
      </c>
      <c r="T8" t="n">
        <v>39900</v>
      </c>
      <c r="U8" t="n">
        <v>81500</v>
      </c>
      <c r="V8">
        <f>SUM(M8:U8)</f>
        <v/>
      </c>
      <c r="W8" t="n">
        <v>997600</v>
      </c>
      <c r="X8">
        <f>V8=W8</f>
        <v/>
      </c>
    </row>
    <row r="9">
      <c r="A9" t="inlineStr">
        <is>
          <t>태극당</t>
        </is>
      </c>
      <c r="B9" t="n">
        <v>174600</v>
      </c>
      <c r="C9" t="n">
        <v>0</v>
      </c>
      <c r="D9" t="n">
        <v>4235200</v>
      </c>
      <c r="E9" t="n">
        <v>0</v>
      </c>
      <c r="F9" t="n">
        <v>4409800</v>
      </c>
      <c r="M9" t="n">
        <v>308520</v>
      </c>
      <c r="N9" t="n">
        <v>8700</v>
      </c>
      <c r="O9" t="n">
        <v>893920</v>
      </c>
      <c r="P9" t="n">
        <v>298140</v>
      </c>
      <c r="Q9" t="n">
        <v>790680</v>
      </c>
      <c r="R9" t="n">
        <v>495040</v>
      </c>
      <c r="S9" t="n">
        <v>679700</v>
      </c>
      <c r="T9" t="n">
        <v>297740</v>
      </c>
      <c r="U9" t="n">
        <v>462760</v>
      </c>
      <c r="V9">
        <f>SUM(M9:U9)</f>
        <v/>
      </c>
      <c r="W9" t="n">
        <v>4235200</v>
      </c>
      <c r="X9">
        <f>V9=W9</f>
        <v/>
      </c>
    </row>
    <row r="10">
      <c r="A10" t="inlineStr">
        <is>
          <t>홍대개미</t>
        </is>
      </c>
      <c r="B10" t="n">
        <v>0</v>
      </c>
      <c r="C10" t="n">
        <v>0</v>
      </c>
      <c r="D10" t="n">
        <v>3612400</v>
      </c>
      <c r="E10" t="n">
        <v>0</v>
      </c>
      <c r="F10" t="n">
        <v>3514500</v>
      </c>
      <c r="M10" t="n">
        <v>335900</v>
      </c>
      <c r="N10" t="n">
        <v>0</v>
      </c>
      <c r="O10" t="n">
        <v>809800</v>
      </c>
      <c r="P10" t="n">
        <v>209200</v>
      </c>
      <c r="Q10" t="n">
        <v>1013100</v>
      </c>
      <c r="R10" t="n">
        <v>402200</v>
      </c>
      <c r="S10" t="n">
        <v>312300</v>
      </c>
      <c r="T10" t="n">
        <v>293600</v>
      </c>
      <c r="U10" t="n">
        <v>236300</v>
      </c>
      <c r="V10">
        <f>SUM(M10:U10)</f>
        <v/>
      </c>
      <c r="W10" t="n">
        <v>3612400</v>
      </c>
      <c r="X10">
        <f>V10=W10</f>
        <v/>
      </c>
    </row>
    <row r="11">
      <c r="A11" t="inlineStr">
        <is>
          <t>마호가니</t>
        </is>
      </c>
      <c r="B11" t="n">
        <v>67550</v>
      </c>
      <c r="C11" t="n">
        <v>0</v>
      </c>
      <c r="D11" t="n">
        <v>4956090</v>
      </c>
      <c r="E11" t="n">
        <v>0</v>
      </c>
      <c r="F11" t="n">
        <v>5023640</v>
      </c>
      <c r="M11" t="n">
        <v>717530</v>
      </c>
      <c r="N11" t="n">
        <v>0</v>
      </c>
      <c r="O11" t="n">
        <v>1101530</v>
      </c>
      <c r="P11" t="n">
        <v>397630</v>
      </c>
      <c r="Q11" t="n">
        <v>737840</v>
      </c>
      <c r="R11" t="n">
        <v>479590</v>
      </c>
      <c r="S11" t="n">
        <v>874890</v>
      </c>
      <c r="T11" t="n">
        <v>333080</v>
      </c>
      <c r="U11" t="n">
        <v>314000</v>
      </c>
      <c r="V11">
        <f>SUM(M11:U11)</f>
        <v/>
      </c>
      <c r="W11" t="n">
        <v>4956090</v>
      </c>
      <c r="X11">
        <f>V11=W11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X59"/>
  <sheetViews>
    <sheetView tabSelected="1" zoomScaleNormal="100" workbookViewId="0">
      <pane xSplit="1" ySplit="3" topLeftCell="B4" activePane="bottomRight" state="frozen"/>
      <selection activeCell="I16" sqref="I16"/>
      <selection pane="topRight" activeCell="I16" sqref="I16"/>
      <selection pane="bottomLeft" activeCell="I16" sqref="I16"/>
      <selection pane="bottomRight" activeCell="E21" sqref="E21"/>
    </sheetView>
  </sheetViews>
  <sheetFormatPr baseColWidth="8" defaultColWidth="8.8984375" defaultRowHeight="15.6"/>
  <cols>
    <col width="10" customWidth="1" style="110" min="1" max="1"/>
    <col width="13.3984375" customWidth="1" style="230" min="2" max="2"/>
    <col width="11.8984375" bestFit="1" customWidth="1" style="230" min="3" max="5"/>
    <col width="11.8984375" customWidth="1" style="230" min="6" max="6"/>
    <col width="11.8984375" bestFit="1" customWidth="1" style="230" min="7" max="7"/>
    <col width="13.3984375" customWidth="1" style="230" min="8" max="8"/>
    <col width="11.3984375" bestFit="1" customWidth="1" style="230" min="9" max="9"/>
    <col width="11.3984375" customWidth="1" style="230" min="10" max="10"/>
    <col width="14.09765625" customWidth="1" style="230" min="11" max="11"/>
    <col width="13.69921875" customWidth="1" style="230" min="12" max="17"/>
    <col width="11.8984375" bestFit="1" customWidth="1" style="230" min="18" max="18"/>
    <col width="13.69921875" customWidth="1" style="230" min="19" max="19"/>
    <col width="8.8984375" customWidth="1" style="230" min="20" max="16384"/>
  </cols>
  <sheetData>
    <row r="1" ht="28.5" customHeight="1" s="243">
      <c r="A1" s="207" t="n"/>
      <c r="B1" s="230" t="inlineStr">
        <is>
          <t>푸디코리아㈜</t>
        </is>
      </c>
      <c r="C1" s="230" t="inlineStr">
        <is>
          <t>라멘짱</t>
        </is>
      </c>
      <c r="D1" s="230" t="inlineStr">
        <is>
          <t>528-85-02070</t>
        </is>
      </c>
      <c r="E1" s="231" t="inlineStr">
        <is>
          <t>002070</t>
        </is>
      </c>
      <c r="F1" s="207" t="n"/>
      <c r="G1" s="207" t="n"/>
      <c r="H1" s="207" t="n"/>
      <c r="I1" s="207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U8" s="230" t="n"/>
      <c r="V8" s="230" t="n"/>
      <c r="W8" s="230" t="n"/>
      <c r="X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  <c r="W9" s="230" t="n"/>
      <c r="X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  <c r="W10" s="230" t="n"/>
      <c r="X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  <c r="W11" s="230" t="n"/>
      <c r="X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U12" s="230" t="n"/>
      <c r="V12" s="230" t="n"/>
      <c r="W12" s="230" t="n"/>
      <c r="X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62" t="n"/>
      <c r="V13" s="230" t="n"/>
      <c r="W13" s="230" t="n"/>
      <c r="X13" s="230" t="n"/>
    </row>
    <row r="14" ht="19.2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30" t="n"/>
      <c r="W14" s="230" t="n"/>
      <c r="X14" s="230" t="n"/>
    </row>
    <row r="15" ht="19.95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  <c r="X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</row>
    <row r="17" ht="19.95" customFormat="1" customHeight="1" s="72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  <c r="V17" s="230" t="n"/>
    </row>
    <row r="18" ht="19.95" customHeight="1" s="243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Format="1" customHeight="1" s="72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  <c r="U27" s="230" t="n"/>
      <c r="V27" s="230" t="n"/>
      <c r="W27" s="230" t="n"/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Height="1" s="243">
      <c r="A32" s="70" t="n">
        <v>46110</v>
      </c>
      <c r="B32" s="254" t="n">
        <v>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214000</v>
      </c>
      <c r="N32" s="261" t="n">
        <v>0</v>
      </c>
      <c r="O32" s="261" t="n">
        <v>372200</v>
      </c>
      <c r="P32" s="261" t="n">
        <v>63400</v>
      </c>
      <c r="Q32" s="261" t="n">
        <v>197000</v>
      </c>
      <c r="R32" s="261" t="n">
        <v>65800</v>
      </c>
      <c r="S32" s="261" t="n">
        <v>159500</v>
      </c>
      <c r="T32" s="261" t="n">
        <v>128600</v>
      </c>
      <c r="U32" t="n">
        <v>73200</v>
      </c>
    </row>
    <row r="33" ht="19.95" customHeight="1" s="243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</row>
    <row r="34" ht="19.95" customHeight="1" s="243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>
        <f>SUM(L4:L34)</f>
        <v/>
      </c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64" t="n"/>
      <c r="C36" s="262" t="n"/>
      <c r="D36" s="262" t="n"/>
      <c r="E36" s="262" t="n"/>
      <c r="F36" s="262" t="n"/>
      <c r="G36" s="262" t="n"/>
      <c r="H36" s="264" t="n"/>
      <c r="I36" s="262" t="n"/>
      <c r="J36" s="262" t="n"/>
      <c r="K36" s="262" t="n"/>
      <c r="L36" s="262" t="n"/>
      <c r="M36" s="262" t="n"/>
      <c r="N36" s="262" t="n"/>
      <c r="O36" s="262" t="n"/>
      <c r="P36" s="262" t="n"/>
      <c r="Q36" s="262" t="n"/>
      <c r="R36" s="262" t="n"/>
      <c r="S36" s="262" t="n"/>
    </row>
    <row r="37">
      <c r="A37" s="68" t="inlineStr">
        <is>
          <t>해외카드 결제분 있을 시, BC카드 가맹점 홈페이지 확인</t>
        </is>
      </c>
      <c r="B37" s="67" t="n"/>
      <c r="E37" s="262" t="n"/>
      <c r="F37" s="262" t="n"/>
      <c r="G37" s="262" t="n"/>
      <c r="H37" s="67" t="n"/>
      <c r="I37" s="262" t="n"/>
      <c r="J37" s="262" t="n"/>
      <c r="K37" s="262" t="n"/>
      <c r="L37" s="262" t="n"/>
      <c r="M37" s="262" t="n"/>
      <c r="N37" s="262" t="n"/>
      <c r="O37" s="262" t="n"/>
      <c r="P37" s="262" t="n"/>
      <c r="Q37" s="262" t="n"/>
    </row>
    <row r="38" ht="16.2" customHeight="1" s="243" thickBot="1">
      <c r="A38" s="66" t="n"/>
    </row>
    <row r="39">
      <c r="A39" s="265" t="inlineStr">
        <is>
          <t>적용기간</t>
        </is>
      </c>
      <c r="B39" s="61" t="inlineStr">
        <is>
          <t>25.02.01~25.11.24</t>
        </is>
      </c>
      <c r="C39" s="266" t="n">
        <v>0.165</v>
      </c>
      <c r="D39" s="267" t="n"/>
      <c r="E39" s="268" t="n"/>
      <c r="F39" s="269" t="n"/>
      <c r="G39" s="268" t="n"/>
      <c r="H39" s="61" t="n"/>
      <c r="K39" s="270" t="n"/>
      <c r="L39" s="48" t="n"/>
      <c r="M39" s="260" t="n"/>
      <c r="R39" s="267" t="n"/>
    </row>
    <row r="40" ht="16.2" customHeight="1" s="243" thickBot="1">
      <c r="A40" s="271" t="n"/>
      <c r="B40" s="55" t="inlineStr">
        <is>
          <t>25.11.25~27.11.24</t>
        </is>
      </c>
      <c r="C40" s="272" t="n">
        <v>0.17</v>
      </c>
      <c r="D40" s="273" t="n"/>
      <c r="E40" s="274" t="n"/>
      <c r="F40" s="275" t="n"/>
      <c r="G40" s="274" t="n"/>
      <c r="H40" s="55" t="n"/>
      <c r="K40" s="270" t="n"/>
      <c r="L40" s="48" t="n"/>
      <c r="M40" s="260" t="n"/>
      <c r="R40" s="273" t="n"/>
    </row>
    <row r="41" ht="16.2" customHeight="1" s="243" thickBot="1">
      <c r="A41" s="53" t="n"/>
      <c r="B41" s="52" t="n"/>
      <c r="C41" s="51" t="n"/>
      <c r="D41" s="276" t="n"/>
      <c r="E41" s="277" t="n"/>
      <c r="F41" s="277" t="n"/>
      <c r="G41" s="277" t="n"/>
      <c r="H41" s="200" t="n"/>
      <c r="K41" s="270" t="n"/>
      <c r="L41" s="48" t="n"/>
      <c r="M41" s="260" t="n"/>
      <c r="R41" s="276" t="n"/>
    </row>
    <row r="42">
      <c r="A42" s="31" t="inlineStr">
        <is>
          <t>수수료율</t>
        </is>
      </c>
      <c r="B42" s="45" t="n">
        <v>0.17</v>
      </c>
      <c r="C42" s="44" t="inlineStr">
        <is>
          <t>최소</t>
        </is>
      </c>
      <c r="E42" s="43" t="n"/>
      <c r="F42" s="42" t="inlineStr">
        <is>
          <t>임대을매출</t>
        </is>
      </c>
      <c r="G42" s="278">
        <f>E35</f>
        <v/>
      </c>
      <c r="H42" s="40" t="inlineStr">
        <is>
          <t>임대을매출원가</t>
        </is>
      </c>
      <c r="I42" s="279">
        <f>G44</f>
        <v/>
      </c>
      <c r="K42" s="33" t="inlineStr">
        <is>
          <t>매출원가</t>
        </is>
      </c>
      <c r="L42" s="260">
        <f>E35-B43</f>
        <v/>
      </c>
      <c r="M42" s="260" t="n"/>
    </row>
    <row r="43">
      <c r="A43" s="31" t="inlineStr">
        <is>
          <t>임대료</t>
        </is>
      </c>
      <c r="B43" s="280">
        <f>ROUND(B45/1.1,0)</f>
        <v/>
      </c>
      <c r="C43" s="281" t="n">
        <v>2638000</v>
      </c>
      <c r="E43" s="282" t="n"/>
      <c r="F43" s="13" t="n"/>
      <c r="G43" s="270" t="n"/>
      <c r="H43" s="48" t="n"/>
      <c r="I43" s="283" t="n"/>
      <c r="K43" s="33" t="inlineStr">
        <is>
          <t>미지급금</t>
        </is>
      </c>
      <c r="L43" s="284">
        <f>C35-B45</f>
        <v/>
      </c>
      <c r="M43" s="284" t="n"/>
      <c r="R43" s="230" t="inlineStr">
        <is>
          <t>?</t>
        </is>
      </c>
    </row>
    <row r="44">
      <c r="A44" s="31" t="inlineStr">
        <is>
          <t>VAT</t>
        </is>
      </c>
      <c r="B44" s="285">
        <f>+B45-B43</f>
        <v/>
      </c>
      <c r="C44" s="281">
        <f>C43/10</f>
        <v/>
      </c>
      <c r="E44" s="282" t="n"/>
      <c r="F44" s="13" t="inlineStr">
        <is>
          <t>임대을매출원가</t>
        </is>
      </c>
      <c r="G44" s="270">
        <f>L42</f>
        <v/>
      </c>
      <c r="H44" s="48" t="inlineStr">
        <is>
          <t>임대을매출_할인</t>
        </is>
      </c>
      <c r="I44" s="283">
        <f>D35</f>
        <v/>
      </c>
      <c r="K44" s="33" t="inlineStr">
        <is>
          <t>미수금</t>
        </is>
      </c>
      <c r="L44" s="260">
        <f>B35</f>
        <v/>
      </c>
      <c r="M44" s="260" t="n"/>
    </row>
    <row r="45">
      <c r="A45" s="31" t="inlineStr">
        <is>
          <t>합계</t>
        </is>
      </c>
      <c r="B45" s="286">
        <f>E35*B42</f>
        <v/>
      </c>
      <c r="C45" s="287">
        <f>C44+C43</f>
        <v/>
      </c>
      <c r="E45" s="288" t="n"/>
      <c r="F45" s="13" t="n"/>
      <c r="G45" s="270" t="n"/>
      <c r="H45" s="48" t="inlineStr">
        <is>
          <t>임대을매출_수수료</t>
        </is>
      </c>
      <c r="I45" s="283">
        <f>B43</f>
        <v/>
      </c>
      <c r="K45" s="270" t="n"/>
    </row>
    <row r="46" customFormat="1" s="9">
      <c r="A46" s="27" t="n"/>
      <c r="B46" s="26" t="n"/>
      <c r="C46" s="25" t="n"/>
      <c r="F46" s="13" t="n"/>
      <c r="G46" s="270" t="n"/>
      <c r="H46" s="48" t="inlineStr">
        <is>
          <t>예수부가세</t>
        </is>
      </c>
      <c r="I46" s="283">
        <f>B44</f>
        <v/>
      </c>
      <c r="J46" s="230" t="n"/>
      <c r="K46" s="270" t="n"/>
      <c r="Q46" s="230" t="n"/>
    </row>
    <row r="47" customFormat="1" s="9">
      <c r="A47" s="20" t="inlineStr">
        <is>
          <t xml:space="preserve"> * 당사 카드 단말기 사용 (국민 004-04-0415-258 계좌)</t>
        </is>
      </c>
      <c r="B47" s="262" t="n"/>
      <c r="F47" s="13" t="n"/>
      <c r="G47" s="270" t="n"/>
      <c r="H47" s="48" t="inlineStr">
        <is>
          <t>미지급금</t>
        </is>
      </c>
      <c r="I47" s="289">
        <f>L43</f>
        <v/>
      </c>
      <c r="J47" s="21" t="n"/>
      <c r="K47" s="290" t="n"/>
      <c r="Q47" s="230" t="n"/>
    </row>
    <row r="48" customFormat="1" s="9">
      <c r="A48" s="20" t="inlineStr">
        <is>
          <t xml:space="preserve"> * 기간 24년 11월 14일까지</t>
        </is>
      </c>
      <c r="B48" s="19" t="n"/>
      <c r="C48" s="18" t="n"/>
      <c r="D48" s="14" t="n"/>
      <c r="E48" s="14" t="n"/>
      <c r="F48" s="13" t="n"/>
      <c r="G48" s="270" t="n"/>
      <c r="H48" s="291" t="inlineStr">
        <is>
          <t>미수금</t>
        </is>
      </c>
      <c r="I48" s="283">
        <f>L44</f>
        <v/>
      </c>
      <c r="J48" s="230" t="n"/>
      <c r="K48" s="290" t="n"/>
      <c r="Q48" s="230" t="n"/>
      <c r="R48" s="14" t="n"/>
    </row>
    <row r="49" customFormat="1" s="9">
      <c r="A49" s="14" t="n"/>
      <c r="B49" s="17" t="n"/>
      <c r="C49" s="16" t="n"/>
      <c r="D49" s="14" t="n"/>
      <c r="E49" s="14" t="n"/>
      <c r="F49" s="13" t="n"/>
      <c r="G49" s="270" t="n"/>
      <c r="H49" s="291" t="n"/>
      <c r="I49" s="283" t="n"/>
      <c r="J49" s="230" t="n"/>
      <c r="K49" s="290" t="n"/>
      <c r="Q49" s="230" t="n"/>
      <c r="R49" s="14" t="n"/>
    </row>
    <row r="50" customFormat="1" s="9">
      <c r="A50" s="9" t="inlineStr">
        <is>
          <t>* 상품대지급일 (익월 25일까지) - 카드매출금에서 수수료 제외 후 입금</t>
        </is>
      </c>
      <c r="F50" s="13" t="n"/>
      <c r="G50" s="270" t="n"/>
      <c r="H50" s="291" t="n"/>
      <c r="I50" s="283" t="n"/>
      <c r="J50" s="230" t="n"/>
      <c r="K50" s="9" t="n"/>
      <c r="Q50" s="230" t="n"/>
    </row>
    <row r="51" ht="16.2" customFormat="1" customHeight="1" s="9" thickBot="1">
      <c r="F51" s="292" t="n"/>
      <c r="G51" s="293">
        <f>SUM(G42:G48)</f>
        <v/>
      </c>
      <c r="H51" s="293" t="n"/>
      <c r="I51" s="294">
        <f>SUM(I42:I48)</f>
        <v/>
      </c>
      <c r="J51" s="230" t="n"/>
      <c r="Q51" s="230" t="n"/>
    </row>
    <row r="52" customFormat="1" s="9">
      <c r="D52" s="295" t="n"/>
      <c r="Q52" s="230" t="n"/>
      <c r="R52" s="295" t="n"/>
    </row>
    <row r="53" customFormat="1" s="9">
      <c r="D53" s="295" t="n"/>
      <c r="Q53" s="230" t="n"/>
      <c r="R53" s="295" t="n"/>
    </row>
    <row r="54" customFormat="1" s="9">
      <c r="D54" s="295" t="n"/>
      <c r="Q54" s="230" t="n"/>
      <c r="R54" s="295" t="n"/>
    </row>
    <row r="59">
      <c r="M59" s="262">
        <f>123727841-123715241</f>
        <v/>
      </c>
    </row>
  </sheetData>
  <mergeCells count="5">
    <mergeCell ref="D39:D40"/>
    <mergeCell ref="E39:E40"/>
    <mergeCell ref="A39:A40"/>
    <mergeCell ref="G39:G40"/>
    <mergeCell ref="R39:R40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3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X60"/>
  <sheetViews>
    <sheetView zoomScaleNormal="100" workbookViewId="0">
      <pane xSplit="1" ySplit="3" topLeftCell="B25" activePane="bottomRight" state="frozen"/>
      <selection activeCell="I16" sqref="I16"/>
      <selection pane="topRight" activeCell="I16" sqref="I16"/>
      <selection pane="bottomLeft" activeCell="I16" sqref="I16"/>
      <selection pane="bottomRight" activeCell="F44" sqref="F44"/>
    </sheetView>
  </sheetViews>
  <sheetFormatPr baseColWidth="8" defaultColWidth="8.8984375" defaultRowHeight="15.6"/>
  <cols>
    <col width="10" customWidth="1" style="110" min="1" max="1"/>
    <col width="12.19921875" customWidth="1" style="230" min="2" max="2"/>
    <col width="11.8984375" bestFit="1" customWidth="1" style="230" min="3" max="4"/>
    <col width="16.796875" bestFit="1" customWidth="1" style="230" min="5" max="5"/>
    <col width="16.796875" customWidth="1" style="230" min="6" max="6"/>
    <col width="16.796875" bestFit="1" customWidth="1" style="230" min="7" max="7"/>
    <col width="12.19921875" customWidth="1" style="230" min="8" max="8"/>
    <col width="11.3984375" bestFit="1" customWidth="1" style="230" min="9" max="9"/>
    <col width="11.3984375" customWidth="1" style="230" min="10" max="10"/>
    <col width="14.09765625" customWidth="1" style="230" min="11" max="11"/>
    <col width="13.69921875" customWidth="1" style="230" min="12" max="13"/>
    <col width="16.796875" bestFit="1" customWidth="1" style="230" min="14" max="14"/>
    <col width="13.69921875" customWidth="1" style="230" min="15" max="17"/>
    <col width="11.8984375" bestFit="1" customWidth="1" style="230" min="18" max="18"/>
    <col width="13.69921875" customWidth="1" style="230" min="19" max="19"/>
    <col width="8.8984375" customWidth="1" style="230" min="20" max="16384"/>
  </cols>
  <sheetData>
    <row r="1" ht="28.5" customHeight="1" s="243">
      <c r="A1" s="207" t="n"/>
      <c r="B1" s="230" t="inlineStr">
        <is>
          <t>삼송빵집 청량리역점</t>
        </is>
      </c>
      <c r="C1" s="230" t="inlineStr">
        <is>
          <t>삼송빵집</t>
        </is>
      </c>
      <c r="D1" s="230" t="inlineStr">
        <is>
          <t>720-87-00099</t>
        </is>
      </c>
      <c r="E1" s="231" t="inlineStr">
        <is>
          <t>000099</t>
        </is>
      </c>
      <c r="F1" s="207" t="n"/>
      <c r="G1" s="207" t="n"/>
      <c r="H1" s="207" t="n"/>
      <c r="I1" s="207" t="n"/>
      <c r="J1" s="81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U8" s="230" t="n"/>
      <c r="V8" s="230" t="n"/>
      <c r="W8" s="230" t="n"/>
      <c r="X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  <c r="W9" s="230" t="n"/>
      <c r="X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  <c r="W10" s="230" t="n"/>
      <c r="X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  <c r="W11" s="230" t="n"/>
      <c r="X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U12" s="230" t="n"/>
      <c r="V12" s="230" t="n"/>
      <c r="W12" s="230" t="n"/>
      <c r="X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30" t="n"/>
      <c r="V13" s="230" t="n"/>
      <c r="W13" s="230" t="n"/>
      <c r="X13" s="230" t="n"/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30" t="n"/>
      <c r="W14" s="230" t="n"/>
      <c r="X14" s="230" t="n"/>
    </row>
    <row r="15" ht="19.2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  <c r="X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  <c r="V16" s="230" t="n"/>
      <c r="W16" s="230" t="n"/>
      <c r="X16" s="230" t="n"/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</row>
    <row r="18" ht="19.95" customFormat="1" customHeight="1" s="72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  <c r="V18" s="230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62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</row>
    <row r="28" ht="19.95" customFormat="1" customHeight="1" s="72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  <c r="U28" s="230" t="n"/>
      <c r="V28" s="230" t="n"/>
      <c r="W28" s="230" t="n"/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Format="1" customHeight="1" s="72">
      <c r="A32" s="70" t="n">
        <v>46110</v>
      </c>
      <c r="B32" s="254" t="n">
        <v>111950</v>
      </c>
      <c r="C32" s="255" t="n">
        <v>0</v>
      </c>
      <c r="D32" s="256" t="n"/>
      <c r="E32" s="257" t="n">
        <v>1920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285200</v>
      </c>
      <c r="N32" s="261" t="n">
        <v>19300</v>
      </c>
      <c r="O32" s="261" t="n">
        <v>733100</v>
      </c>
      <c r="P32" s="261" t="n">
        <v>317600</v>
      </c>
      <c r="Q32" s="261" t="n">
        <v>638150</v>
      </c>
      <c r="R32" s="261" t="n">
        <v>407300</v>
      </c>
      <c r="S32" s="261" t="n">
        <v>498480</v>
      </c>
      <c r="T32" s="261" t="n">
        <v>316700</v>
      </c>
      <c r="U32" s="230" t="n">
        <v>352200</v>
      </c>
      <c r="V32" s="230" t="n"/>
      <c r="W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96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 ht="19.95" customHeight="1" s="243">
      <c r="A37" s="228" t="n"/>
      <c r="B37" s="296" t="n"/>
      <c r="C37" s="261" t="n"/>
      <c r="D37" s="261" t="n"/>
      <c r="E37" s="261" t="n"/>
      <c r="F37" s="261" t="n"/>
      <c r="G37" s="261" t="n"/>
      <c r="H37" s="296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</row>
    <row r="38">
      <c r="A38" s="68" t="inlineStr">
        <is>
          <t>해외카드 결제분 있을 시, BC카드 가맹점 홈페이지 확인</t>
        </is>
      </c>
      <c r="B38" s="67" t="n"/>
      <c r="E38" s="262" t="n"/>
      <c r="F38" s="262" t="n"/>
      <c r="G38" s="262" t="n"/>
      <c r="H38" s="67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</row>
    <row r="39" ht="16.2" customHeight="1" s="243" thickBot="1">
      <c r="A39" s="66" t="n"/>
      <c r="B39" s="230" t="inlineStr">
        <is>
          <t>25.11.01~27.10.31</t>
        </is>
      </c>
      <c r="G39" s="297" t="inlineStr">
        <is>
          <t>27.11.01~28.10.31</t>
        </is>
      </c>
      <c r="H39" s="48" t="n"/>
    </row>
    <row r="40">
      <c r="A40" s="265" t="inlineStr">
        <is>
          <t>총매출</t>
        </is>
      </c>
      <c r="B40" s="298" t="inlineStr">
        <is>
          <t>130,000,000미만</t>
        </is>
      </c>
      <c r="C40" s="299" t="n">
        <v>0.185</v>
      </c>
      <c r="D40" s="267" t="inlineStr">
        <is>
          <t>최소보장</t>
        </is>
      </c>
      <c r="E40" s="300" t="inlineStr">
        <is>
          <t>12,800,000(VAT별도)</t>
        </is>
      </c>
      <c r="F40" s="265" t="n"/>
      <c r="G40" s="301" t="inlineStr">
        <is>
          <t>130,000,000미만</t>
        </is>
      </c>
      <c r="H40" s="302" t="n">
        <v>0.19</v>
      </c>
      <c r="R40" s="267" t="inlineStr">
        <is>
          <t>최소보장</t>
        </is>
      </c>
    </row>
    <row r="41" ht="16.2" customHeight="1" s="243" thickBot="1">
      <c r="A41" s="271" t="n"/>
      <c r="B41" s="103" t="inlineStr">
        <is>
          <t>130,000,000이상</t>
        </is>
      </c>
      <c r="C41" s="299" t="n">
        <v>0.19</v>
      </c>
      <c r="D41" s="273" t="n"/>
      <c r="E41" s="303" t="n"/>
      <c r="F41" s="271" t="n"/>
      <c r="G41" s="100" t="inlineStr">
        <is>
          <t>130,000,000이상</t>
        </is>
      </c>
      <c r="H41" s="304" t="n">
        <v>0.195</v>
      </c>
      <c r="R41" s="273" t="n"/>
    </row>
    <row r="42" ht="16.2" customHeight="1" s="243" thickBot="1">
      <c r="A42" s="53" t="n"/>
      <c r="B42" s="98" t="inlineStr">
        <is>
          <t>금액구간 확인 후</t>
        </is>
      </c>
      <c r="C42" s="276" t="inlineStr">
        <is>
          <t>25.11.1~</t>
        </is>
      </c>
      <c r="D42" s="276" t="n"/>
      <c r="E42" s="277" t="n"/>
      <c r="F42" s="277" t="n"/>
      <c r="G42" s="305" t="inlineStr">
        <is>
          <t>계약서 보고 다시 구간 확인하기</t>
        </is>
      </c>
      <c r="H42" s="96" t="n"/>
      <c r="M42" s="260" t="n"/>
      <c r="R42" s="276" t="n"/>
    </row>
    <row r="43">
      <c r="A43" s="94" t="inlineStr">
        <is>
          <t>수수료율</t>
        </is>
      </c>
      <c r="B43" s="95" t="n">
        <v>0.185</v>
      </c>
      <c r="C43" s="94" t="inlineStr">
        <is>
          <t>최저</t>
        </is>
      </c>
      <c r="D43" s="270" t="n"/>
      <c r="E43" s="33" t="inlineStr">
        <is>
          <t>매출원가</t>
        </is>
      </c>
      <c r="F43" s="306">
        <f>E35-B44</f>
        <v/>
      </c>
      <c r="G43" s="230" t="n"/>
      <c r="H43" s="93" t="n"/>
      <c r="I43" s="260" t="n"/>
      <c r="M43" s="267" t="n"/>
      <c r="N43" s="268" t="n"/>
      <c r="R43" s="270" t="n"/>
    </row>
    <row r="44" ht="18" customHeight="1" s="243" thickBot="1">
      <c r="A44" s="94" t="inlineStr">
        <is>
          <t>임대료</t>
        </is>
      </c>
      <c r="B44" s="307">
        <f>ROUND(B46/1.1,0)</f>
        <v/>
      </c>
      <c r="C44" s="308" t="n">
        <v>12800000</v>
      </c>
      <c r="D44" s="85" t="n"/>
      <c r="E44" s="33" t="inlineStr">
        <is>
          <t>미지급금</t>
        </is>
      </c>
      <c r="F44" s="306">
        <f>C35-B46</f>
        <v/>
      </c>
      <c r="G44" s="230" t="n"/>
      <c r="H44" s="282" t="n"/>
      <c r="I44" s="260" t="n"/>
      <c r="M44" s="273" t="n"/>
      <c r="N44" s="274" t="n"/>
      <c r="O44" s="91" t="n"/>
      <c r="R44" s="85" t="n"/>
    </row>
    <row r="45" ht="16.2" customHeight="1" s="243" thickBot="1">
      <c r="A45" s="94" t="inlineStr">
        <is>
          <t>VAT</t>
        </is>
      </c>
      <c r="B45" s="307">
        <f>+B46-B44</f>
        <v/>
      </c>
      <c r="C45" s="309">
        <f>C44/10</f>
        <v/>
      </c>
      <c r="D45" s="85" t="n"/>
      <c r="E45" s="33" t="inlineStr">
        <is>
          <t>미수금</t>
        </is>
      </c>
      <c r="F45" s="306">
        <f>B35</f>
        <v/>
      </c>
      <c r="G45" s="230" t="n"/>
      <c r="H45" s="282" t="n"/>
      <c r="I45" s="260" t="n"/>
      <c r="J45" s="260" t="n"/>
      <c r="K45" s="270" t="n"/>
      <c r="L45" s="270" t="n"/>
      <c r="M45" s="260" t="n"/>
      <c r="R45" s="85" t="n"/>
    </row>
    <row r="46">
      <c r="A46" s="94" t="inlineStr">
        <is>
          <t>합계</t>
        </is>
      </c>
      <c r="B46" s="310">
        <f>E35*B43</f>
        <v/>
      </c>
      <c r="C46" s="309">
        <f>C45+C44</f>
        <v/>
      </c>
      <c r="D46" s="85" t="n"/>
      <c r="E46" s="33" t="n"/>
      <c r="F46" s="42" t="inlineStr">
        <is>
          <t>임대을매출</t>
        </is>
      </c>
      <c r="G46" s="278">
        <f>E35</f>
        <v/>
      </c>
      <c r="H46" s="40" t="inlineStr">
        <is>
          <t>임대을매출원가</t>
        </is>
      </c>
      <c r="I46" s="279">
        <f>G48</f>
        <v/>
      </c>
      <c r="K46" s="270" t="n"/>
      <c r="L46" s="270" t="n"/>
      <c r="M46" s="270" t="n"/>
      <c r="R46" s="85" t="n"/>
    </row>
    <row r="47" customFormat="1" s="9">
      <c r="A47" s="27" t="n"/>
      <c r="B47" s="26" t="n"/>
      <c r="F47" s="13" t="n"/>
      <c r="G47" s="270" t="n"/>
      <c r="H47" s="48" t="n"/>
      <c r="I47" s="283" t="n"/>
      <c r="J47" s="230" t="n"/>
      <c r="K47" s="270" t="n"/>
      <c r="Q47" s="230" t="n"/>
    </row>
    <row r="48" customFormat="1" s="9">
      <c r="A48" s="20" t="inlineStr">
        <is>
          <t xml:space="preserve"> * 당사 카드 단말기 사용 (국민 004-04-0415-258 계좌)</t>
        </is>
      </c>
      <c r="B48" s="262" t="n"/>
      <c r="F48" s="13" t="inlineStr">
        <is>
          <t>임대을매출원가</t>
        </is>
      </c>
      <c r="G48" s="270">
        <f>F43</f>
        <v/>
      </c>
      <c r="H48" s="48" t="inlineStr">
        <is>
          <t>임대을매출_할인</t>
        </is>
      </c>
      <c r="I48" s="283">
        <f>D35</f>
        <v/>
      </c>
      <c r="J48" s="230" t="n"/>
      <c r="K48" s="290" t="n"/>
      <c r="Q48" s="230" t="n"/>
    </row>
    <row r="49" customFormat="1" s="9">
      <c r="A49" s="20" t="inlineStr">
        <is>
          <t xml:space="preserve"> * 기간 24년 11월 14일까지</t>
        </is>
      </c>
      <c r="B49" s="19" t="n"/>
      <c r="C49" s="18" t="n"/>
      <c r="D49" s="14" t="n"/>
      <c r="E49" s="14" t="n"/>
      <c r="F49" s="13" t="n"/>
      <c r="G49" s="270" t="n"/>
      <c r="H49" s="48" t="inlineStr">
        <is>
          <t>임대을매출_수수료</t>
        </is>
      </c>
      <c r="I49" s="283">
        <f>B44</f>
        <v/>
      </c>
      <c r="J49" s="230" t="n"/>
      <c r="K49" s="290" t="n"/>
      <c r="Q49" s="230" t="n"/>
      <c r="R49" s="14" t="n"/>
    </row>
    <row r="50" customFormat="1" s="9">
      <c r="A50" s="14" t="n"/>
      <c r="B50" s="17" t="n"/>
      <c r="C50" s="16" t="n"/>
      <c r="D50" s="14" t="n"/>
      <c r="E50" s="14" t="n"/>
      <c r="F50" s="13" t="n"/>
      <c r="G50" s="270" t="n"/>
      <c r="H50" s="48" t="inlineStr">
        <is>
          <t>예수부가세</t>
        </is>
      </c>
      <c r="I50" s="283">
        <f>B45</f>
        <v/>
      </c>
      <c r="J50" s="230" t="n"/>
      <c r="K50" s="290" t="n"/>
      <c r="Q50" s="230" t="n"/>
      <c r="R50" s="14" t="n"/>
    </row>
    <row r="51" ht="17.4" customFormat="1" customHeight="1" s="9">
      <c r="A51" s="9" t="inlineStr">
        <is>
          <t>* 상품대지급일 (익월 25일까지) - 카드매출금에서 수수료 제외 후 입금</t>
        </is>
      </c>
      <c r="F51" s="13" t="n"/>
      <c r="G51" s="270" t="n"/>
      <c r="H51" s="48" t="inlineStr">
        <is>
          <t>미지급금</t>
        </is>
      </c>
      <c r="I51" s="289">
        <f>F44</f>
        <v/>
      </c>
      <c r="J51" s="84" t="n"/>
      <c r="K51" s="9" t="n"/>
      <c r="Q51" s="230" t="n"/>
    </row>
    <row r="52" customFormat="1" s="9">
      <c r="F52" s="13" t="n"/>
      <c r="G52" s="270" t="n"/>
      <c r="H52" s="291" t="inlineStr">
        <is>
          <t>미수금</t>
        </is>
      </c>
      <c r="I52" s="283">
        <f>B35</f>
        <v/>
      </c>
      <c r="J52" s="230" t="n"/>
      <c r="Q52" s="230" t="n"/>
    </row>
    <row r="53" customFormat="1" s="9">
      <c r="B53" s="9" t="inlineStr">
        <is>
          <t>임대보증금</t>
        </is>
      </c>
      <c r="C53" s="262" t="n">
        <v>80000000</v>
      </c>
      <c r="D53" s="295" t="n"/>
      <c r="F53" s="13" t="n"/>
      <c r="G53" s="270" t="n"/>
      <c r="H53" s="291" t="n"/>
      <c r="I53" s="283" t="n"/>
      <c r="J53" s="230" t="n"/>
      <c r="Q53" s="230" t="n"/>
      <c r="R53" s="295" t="n"/>
    </row>
    <row r="54" customFormat="1" s="9">
      <c r="C54" s="83" t="inlineStr">
        <is>
          <t>차액분 11/7 입금예정</t>
        </is>
      </c>
      <c r="D54" s="311" t="n"/>
      <c r="F54" s="13" t="n"/>
      <c r="G54" s="270" t="n"/>
      <c r="H54" s="291" t="n"/>
      <c r="I54" s="283" t="n"/>
      <c r="J54" s="230" t="n"/>
      <c r="Q54" s="230" t="n"/>
      <c r="R54" s="311" t="n"/>
    </row>
    <row r="55" ht="16.2" customFormat="1" customHeight="1" s="9" thickBot="1">
      <c r="D55" s="295" t="n"/>
      <c r="F55" s="292" t="n"/>
      <c r="G55" s="293">
        <f>SUM(G46:G52)</f>
        <v/>
      </c>
      <c r="H55" s="293" t="n"/>
      <c r="I55" s="294">
        <f>SUM(I46:I52)</f>
        <v/>
      </c>
      <c r="J55" s="230" t="n"/>
      <c r="Q55" s="230" t="n"/>
      <c r="R55" s="295" t="n"/>
    </row>
    <row r="60">
      <c r="M60" s="262">
        <f>123727841-123715241</f>
        <v/>
      </c>
    </row>
  </sheetData>
  <mergeCells count="7">
    <mergeCell ref="N43:N44"/>
    <mergeCell ref="F40:F41"/>
    <mergeCell ref="M43:M44"/>
    <mergeCell ref="A40:A41"/>
    <mergeCell ref="E40:E41"/>
    <mergeCell ref="R40:R41"/>
    <mergeCell ref="D40:D41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4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Y61"/>
  <sheetViews>
    <sheetView zoomScale="85" zoomScaleNormal="85" workbookViewId="0">
      <pane xSplit="1" ySplit="3" topLeftCell="B22" activePane="bottomRight" state="frozen"/>
      <selection activeCell="I16" sqref="I16"/>
      <selection pane="topRight" activeCell="I16" sqref="I16"/>
      <selection pane="bottomLeft" activeCell="I16" sqref="I16"/>
      <selection pane="bottomRight" activeCell="G53" sqref="G53"/>
    </sheetView>
  </sheetViews>
  <sheetFormatPr baseColWidth="8" defaultColWidth="8.8984375" defaultRowHeight="15.6"/>
  <cols>
    <col width="10" customWidth="1" style="110" min="1" max="1"/>
    <col width="12.796875" customWidth="1" style="230" min="2" max="2"/>
    <col width="11.8984375" bestFit="1" customWidth="1" style="230" min="3" max="4"/>
    <col width="7.796875" customWidth="1" style="230" min="5" max="5"/>
    <col width="7.09765625" customWidth="1" style="230" min="6" max="6"/>
    <col width="11.8984375" customWidth="1" style="230" min="7" max="8"/>
    <col width="11.8984375" bestFit="1" customWidth="1" style="230" min="9" max="9"/>
    <col width="11.8984375" customWidth="1" style="230" min="10" max="10"/>
    <col width="11.8984375" bestFit="1" customWidth="1" style="230" min="11" max="12"/>
    <col width="12.19921875" bestFit="1" customWidth="1" style="230" min="13" max="13"/>
    <col width="11.3984375" customWidth="1" style="230" min="14" max="14"/>
    <col width="14.09765625" customWidth="1" style="230" min="15" max="15"/>
    <col width="13.69921875" customWidth="1" style="230" min="16" max="20"/>
    <col width="8.8984375" customWidth="1" style="230" min="21" max="16384"/>
  </cols>
  <sheetData>
    <row r="1" ht="28.5" customHeight="1" s="243">
      <c r="A1" s="207" t="n"/>
      <c r="B1" s="230" t="inlineStr">
        <is>
          <t>한국집 청량리역점</t>
        </is>
      </c>
      <c r="C1" s="230" t="inlineStr">
        <is>
          <t>한국집</t>
        </is>
      </c>
      <c r="D1" s="230" t="inlineStr">
        <is>
          <t>344-58-00629</t>
        </is>
      </c>
      <c r="E1" s="231" t="inlineStr">
        <is>
          <t>000629</t>
        </is>
      </c>
      <c r="F1" s="207" t="n"/>
      <c r="G1" s="207" t="n"/>
      <c r="H1" s="207" t="n"/>
      <c r="I1" s="207" t="n"/>
      <c r="J1" s="207" t="n"/>
      <c r="K1" s="207" t="n"/>
      <c r="L1" s="207" t="n"/>
      <c r="M1" s="207" t="n"/>
      <c r="N1" s="81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V8" s="230" t="n"/>
      <c r="W8" s="230" t="n"/>
      <c r="X8" s="230" t="n"/>
      <c r="Y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V9" s="230" t="n"/>
      <c r="W9" s="230" t="n"/>
      <c r="X9" s="230" t="n"/>
      <c r="Y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V10" s="230" t="n"/>
      <c r="W10" s="230" t="n"/>
      <c r="X10" s="230" t="n"/>
      <c r="Y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V11" s="230" t="n"/>
      <c r="W11" s="230" t="n"/>
      <c r="X11" s="230" t="n"/>
      <c r="Y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V12" s="230" t="n"/>
      <c r="W12" s="230" t="n"/>
      <c r="X12" s="230" t="n"/>
      <c r="Y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62" t="n"/>
      <c r="V13" s="230" t="n"/>
      <c r="W13" s="230" t="n"/>
      <c r="X13" s="230" t="n"/>
      <c r="Y13" s="230" t="n"/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62" t="n"/>
      <c r="W14" s="230" t="n"/>
      <c r="X14" s="230" t="n"/>
      <c r="Y14" s="230" t="n"/>
    </row>
    <row r="15" ht="19.2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62" t="n"/>
      <c r="W15" s="230" t="n"/>
      <c r="X15" s="230" t="n"/>
      <c r="Y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  <c r="V16" s="262" t="n"/>
      <c r="W16" s="230" t="n"/>
      <c r="X16" s="230" t="n"/>
      <c r="Y16" s="230" t="n"/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  <c r="V17" s="262" t="n"/>
    </row>
    <row r="18" ht="19.95" customFormat="1" customHeight="1" s="72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  <c r="V18" s="262" t="n"/>
      <c r="W18" s="230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  <c r="V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  <c r="V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62" t="n"/>
      <c r="V21" s="262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Format="1" customHeight="1" s="72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  <c r="U27" s="262" t="n"/>
      <c r="V27" s="230" t="n"/>
      <c r="W27" s="230" t="n"/>
      <c r="X27" s="230" t="n"/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Format="1" customHeight="1" s="72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  <c r="U31" s="230" t="n"/>
      <c r="V31" s="230" t="n"/>
      <c r="W31" s="230" t="n"/>
      <c r="X31" s="230" t="n"/>
    </row>
    <row r="32" ht="19.95" customFormat="1" customHeight="1" s="72">
      <c r="A32" s="70" t="n">
        <v>46110</v>
      </c>
      <c r="B32" s="254" t="n">
        <v>282000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412000</v>
      </c>
      <c r="N32" s="261" t="n">
        <v>0</v>
      </c>
      <c r="O32" s="261" t="n">
        <v>724000</v>
      </c>
      <c r="P32" s="261" t="n">
        <v>746000</v>
      </c>
      <c r="Q32" s="261" t="n">
        <v>1002000</v>
      </c>
      <c r="R32" s="261" t="n">
        <v>657000</v>
      </c>
      <c r="S32" s="261" t="n">
        <v>658000</v>
      </c>
      <c r="T32" s="261" t="n">
        <v>278000</v>
      </c>
      <c r="U32" s="230" t="n">
        <v>371000</v>
      </c>
      <c r="V32" s="230" t="n"/>
      <c r="W32" s="230" t="n"/>
      <c r="X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  <c r="X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  <c r="X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61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>
      <c r="A37" s="68" t="inlineStr">
        <is>
          <t>해외카드 결제분 있을 시, BC카드 가맹점 홈페이지 확인</t>
        </is>
      </c>
      <c r="B37" s="67" t="n"/>
      <c r="I37" s="262" t="n"/>
      <c r="J37" s="262" t="n"/>
      <c r="K37" s="262" t="n"/>
      <c r="M37" s="262" t="n"/>
      <c r="N37" s="262" t="n"/>
      <c r="O37" s="262" t="n"/>
      <c r="P37" s="262" t="n"/>
      <c r="Q37" s="262" t="n"/>
      <c r="R37" s="262" t="n"/>
      <c r="S37" s="262" t="n"/>
      <c r="T37" s="262" t="n"/>
    </row>
    <row r="38" ht="16.2" customHeight="1" s="243" thickBot="1">
      <c r="A38" s="66" t="n"/>
    </row>
    <row r="39">
      <c r="A39" s="265" t="inlineStr">
        <is>
          <t>적용기간</t>
        </is>
      </c>
      <c r="B39" s="61" t="inlineStr">
        <is>
          <t>25.02.01~25.11.24</t>
        </is>
      </c>
      <c r="C39" s="266" t="n">
        <v>0.16</v>
      </c>
      <c r="D39" s="267" t="n"/>
      <c r="E39" s="312" t="n"/>
      <c r="F39" s="312" t="n"/>
      <c r="G39" s="312" t="n"/>
      <c r="H39" s="312" t="n"/>
      <c r="I39" s="313" t="n"/>
      <c r="J39" s="314" t="n"/>
      <c r="K39" s="313" t="n"/>
      <c r="L39" s="267" t="n"/>
      <c r="O39" s="270" t="n"/>
      <c r="P39" s="48" t="n"/>
      <c r="Q39" s="260" t="n"/>
    </row>
    <row r="40">
      <c r="A40" s="315" t="n"/>
      <c r="B40" s="123" t="inlineStr">
        <is>
          <t>25.11.25~26.11.24</t>
        </is>
      </c>
      <c r="C40" s="316" t="n">
        <v>0.17</v>
      </c>
      <c r="D40" s="317" t="n"/>
      <c r="E40" s="318" t="n"/>
      <c r="F40" s="318" t="n"/>
      <c r="G40" s="318" t="n"/>
      <c r="H40" s="318" t="n"/>
      <c r="I40" s="319" t="n"/>
      <c r="J40" s="320" t="n"/>
      <c r="K40" s="319" t="n"/>
      <c r="L40" s="317" t="n"/>
      <c r="O40" s="270" t="n"/>
      <c r="P40" s="48" t="n"/>
      <c r="Q40" s="260" t="n"/>
    </row>
    <row r="41" ht="16.2" customHeight="1" s="243" thickBot="1">
      <c r="A41" s="271" t="n"/>
      <c r="B41" s="100" t="inlineStr">
        <is>
          <t>26.11.25~27.11.24</t>
        </is>
      </c>
      <c r="C41" s="321" t="n">
        <v>0.17</v>
      </c>
      <c r="D41" s="273" t="n"/>
      <c r="E41" s="322" t="n"/>
      <c r="F41" s="322" t="n"/>
      <c r="G41" s="322" t="n"/>
      <c r="H41" s="322" t="n"/>
      <c r="I41" s="323" t="n"/>
      <c r="J41" s="324" t="n"/>
      <c r="K41" s="323" t="n"/>
      <c r="L41" s="273" t="n"/>
      <c r="O41" s="270" t="n"/>
      <c r="P41" s="48" t="n"/>
      <c r="Q41" s="260" t="n"/>
    </row>
    <row r="42">
      <c r="A42" s="53" t="n"/>
      <c r="C42" s="113" t="n"/>
      <c r="D42" s="325" t="n"/>
      <c r="E42" s="326" t="n"/>
      <c r="F42" s="326" t="n"/>
      <c r="G42" s="326" t="n"/>
      <c r="H42" s="326" t="n"/>
      <c r="I42" s="277" t="n"/>
      <c r="J42" s="277" t="n"/>
      <c r="K42" s="277" t="n"/>
      <c r="L42" s="325" t="n"/>
      <c r="N42" s="260" t="n"/>
      <c r="O42" s="270" t="n"/>
      <c r="P42" s="48" t="n"/>
      <c r="Q42" s="260" t="n"/>
    </row>
    <row r="43">
      <c r="A43" s="94" t="inlineStr">
        <is>
          <t>수수료율</t>
        </is>
      </c>
      <c r="B43" s="95" t="n">
        <v>0.17</v>
      </c>
      <c r="C43" s="94" t="inlineStr">
        <is>
          <t>최저</t>
        </is>
      </c>
      <c r="D43" s="93" t="n"/>
      <c r="E43" s="110" t="inlineStr">
        <is>
          <t>최저</t>
        </is>
      </c>
      <c r="F43" s="110" t="n"/>
      <c r="G43" s="110" t="n"/>
      <c r="H43" s="110" t="n"/>
      <c r="I43" s="110" t="n"/>
      <c r="J43" s="110" t="n"/>
      <c r="K43" s="110" t="n"/>
      <c r="L43" s="93" t="n"/>
      <c r="N43" s="284" t="n"/>
    </row>
    <row r="44">
      <c r="A44" s="94" t="inlineStr">
        <is>
          <t>임대료</t>
        </is>
      </c>
      <c r="B44" s="307">
        <f>ROUND(B46/1.1,0)</f>
        <v/>
      </c>
      <c r="C44" s="308" t="n">
        <v>10618000</v>
      </c>
      <c r="D44" s="282" t="n"/>
      <c r="E44" s="270" t="n">
        <v>10618000</v>
      </c>
      <c r="F44" s="270" t="n"/>
      <c r="G44" s="270" t="n"/>
      <c r="H44" s="270" t="n"/>
      <c r="I44" s="270" t="n"/>
      <c r="J44" s="270" t="n"/>
      <c r="K44" s="270" t="n"/>
      <c r="L44" s="282" t="n"/>
      <c r="N44" s="260" t="n"/>
    </row>
    <row r="45">
      <c r="A45" s="94" t="inlineStr">
        <is>
          <t>VAT</t>
        </is>
      </c>
      <c r="B45" s="307">
        <f>+B46-B44</f>
        <v/>
      </c>
      <c r="C45" s="309">
        <f>C44/10</f>
        <v/>
      </c>
      <c r="D45" s="282" t="n"/>
      <c r="E45" s="262">
        <f>E44/10</f>
        <v/>
      </c>
      <c r="F45" s="262" t="n"/>
      <c r="G45" s="262" t="n"/>
      <c r="H45" s="262" t="n"/>
      <c r="I45" s="262" t="n"/>
      <c r="J45" s="262" t="n"/>
      <c r="K45" s="262" t="n"/>
      <c r="L45" s="282" t="n"/>
      <c r="N45" s="270" t="n"/>
    </row>
    <row r="46">
      <c r="A46" s="94" t="inlineStr">
        <is>
          <t>합계</t>
        </is>
      </c>
      <c r="B46" s="310">
        <f>I35*B43</f>
        <v/>
      </c>
      <c r="C46" s="309">
        <f>C45+C44</f>
        <v/>
      </c>
      <c r="D46" s="288" t="n"/>
      <c r="E46" s="262">
        <f>E45+E44</f>
        <v/>
      </c>
      <c r="F46" s="262" t="n"/>
      <c r="G46" s="262" t="n"/>
      <c r="H46" s="262" t="n"/>
      <c r="I46" s="262" t="n"/>
      <c r="J46" s="262" t="n"/>
      <c r="K46" s="262" t="n"/>
      <c r="L46" s="288" t="n"/>
      <c r="M46" s="270" t="n"/>
      <c r="N46" s="270" t="n"/>
    </row>
    <row r="47" customFormat="1" s="9">
      <c r="A47" s="27" t="n"/>
      <c r="B47" s="26" t="n"/>
      <c r="M47" s="270" t="n"/>
      <c r="N47" s="85" t="n"/>
      <c r="T47" s="230" t="n"/>
    </row>
    <row r="48" customFormat="1" s="9">
      <c r="A48" s="20" t="inlineStr">
        <is>
          <t xml:space="preserve"> * 당사 카드 단말기 사용 (국민 004-04-0415-258 계좌)</t>
        </is>
      </c>
      <c r="B48" s="262" t="n"/>
      <c r="J48" s="33" t="inlineStr">
        <is>
          <t>매출원가</t>
        </is>
      </c>
      <c r="K48" s="260">
        <f>I35-B44</f>
        <v/>
      </c>
      <c r="L48" s="260" t="n"/>
      <c r="M48" s="230" t="n"/>
      <c r="N48" s="230" t="n"/>
      <c r="T48" s="230" t="n"/>
    </row>
    <row r="49" customFormat="1" s="9">
      <c r="A49" s="20" t="inlineStr">
        <is>
          <t xml:space="preserve"> * 기간 24년 11월 14일까지</t>
        </is>
      </c>
      <c r="B49" s="19" t="n"/>
      <c r="C49" s="18" t="n"/>
      <c r="D49" s="14" t="n"/>
      <c r="E49" s="14" t="n"/>
      <c r="F49" s="14" t="n"/>
      <c r="G49" s="14" t="n"/>
      <c r="H49" s="14" t="n"/>
      <c r="I49" s="14" t="n"/>
      <c r="J49" s="33" t="inlineStr">
        <is>
          <t>미지급금</t>
        </is>
      </c>
      <c r="K49" s="284">
        <f>C35-B46</f>
        <v/>
      </c>
      <c r="L49" s="260" t="n"/>
      <c r="M49" s="230" t="n"/>
      <c r="N49" s="230" t="n"/>
      <c r="T49" s="230" t="n"/>
    </row>
    <row r="50" customFormat="1" s="9">
      <c r="A50" s="14" t="n"/>
      <c r="B50" s="17" t="n"/>
      <c r="C50" s="16" t="n"/>
      <c r="D50" s="14" t="n"/>
      <c r="E50" s="14" t="n"/>
      <c r="F50" s="14" t="n"/>
      <c r="G50" s="14" t="n"/>
      <c r="H50" s="14" t="n"/>
      <c r="I50" s="14" t="n"/>
      <c r="J50" s="33" t="inlineStr">
        <is>
          <t>미수금</t>
        </is>
      </c>
      <c r="K50" s="260">
        <f>B35</f>
        <v/>
      </c>
      <c r="L50" s="260" t="n"/>
      <c r="M50" s="230" t="n"/>
      <c r="N50" s="230" t="n"/>
      <c r="T50" s="230" t="n"/>
    </row>
    <row r="51" ht="16.2" customFormat="1" customHeight="1" s="9" thickBot="1">
      <c r="A51" s="9" t="inlineStr">
        <is>
          <t>* 상품대지급일 (익월 25일까지) - 카드매출금에서 수수료 제외 후 입금</t>
        </is>
      </c>
      <c r="J51" s="270" t="n"/>
      <c r="K51" s="270" t="n"/>
      <c r="L51" s="270" t="n"/>
      <c r="M51" s="230" t="n"/>
      <c r="N51" s="230" t="n"/>
      <c r="T51" s="230" t="n"/>
    </row>
    <row r="52" customFormat="1" s="9">
      <c r="J52" s="270" t="n"/>
      <c r="K52" s="42" t="inlineStr">
        <is>
          <t>임대을매출</t>
        </is>
      </c>
      <c r="L52" s="278">
        <f>I35</f>
        <v/>
      </c>
      <c r="M52" s="40" t="inlineStr">
        <is>
          <t>임대을매출원가</t>
        </is>
      </c>
      <c r="N52" s="279">
        <f>L54</f>
        <v/>
      </c>
      <c r="T52" s="230" t="n"/>
    </row>
    <row r="53" customFormat="1" s="9">
      <c r="B53" s="9" t="inlineStr">
        <is>
          <t>임대보증금</t>
        </is>
      </c>
      <c r="D53" s="295" t="n"/>
      <c r="E53" s="295" t="n"/>
      <c r="F53" s="295" t="n"/>
      <c r="G53" s="295" t="n"/>
      <c r="H53" s="295" t="n"/>
      <c r="J53" s="290" t="n"/>
      <c r="K53" s="13" t="n"/>
      <c r="L53" s="270" t="n"/>
      <c r="M53" s="48" t="n"/>
      <c r="N53" s="283" t="n"/>
      <c r="T53" s="230" t="n"/>
    </row>
    <row r="54" customFormat="1" s="9">
      <c r="D54" s="295" t="n"/>
      <c r="E54" s="295" t="n"/>
      <c r="F54" s="295" t="n"/>
      <c r="G54" s="295" t="n"/>
      <c r="H54" s="295" t="n"/>
      <c r="J54" s="290" t="n"/>
      <c r="K54" s="13" t="inlineStr">
        <is>
          <t>임대을매출원가</t>
        </is>
      </c>
      <c r="L54" s="270">
        <f>K48</f>
        <v/>
      </c>
      <c r="M54" s="48" t="inlineStr">
        <is>
          <t>임대을매출_할인</t>
        </is>
      </c>
      <c r="N54" s="283">
        <f>D35</f>
        <v/>
      </c>
      <c r="T54" s="230" t="n"/>
    </row>
    <row r="55" customFormat="1" s="9">
      <c r="D55" s="295" t="n"/>
      <c r="E55" s="295" t="n"/>
      <c r="F55" s="295" t="n"/>
      <c r="G55" s="295" t="n"/>
      <c r="H55" s="295" t="n"/>
      <c r="J55" s="290" t="n"/>
      <c r="K55" s="13" t="n"/>
      <c r="L55" s="270" t="n"/>
      <c r="M55" s="48" t="inlineStr">
        <is>
          <t>임대을매출_수수료</t>
        </is>
      </c>
      <c r="N55" s="283">
        <f>B44</f>
        <v/>
      </c>
      <c r="T55" s="230" t="n"/>
    </row>
    <row r="56">
      <c r="J56" s="9" t="n"/>
      <c r="K56" s="13" t="n"/>
      <c r="L56" s="270" t="n"/>
      <c r="M56" s="48" t="inlineStr">
        <is>
          <t>예수부가세</t>
        </is>
      </c>
      <c r="N56" s="283">
        <f>B45</f>
        <v/>
      </c>
    </row>
    <row r="57">
      <c r="J57" s="9" t="n"/>
      <c r="K57" s="13" t="n"/>
      <c r="L57" s="270" t="n"/>
      <c r="M57" s="48" t="inlineStr">
        <is>
          <t>미지급금</t>
        </is>
      </c>
      <c r="N57" s="289">
        <f>K49+M46</f>
        <v/>
      </c>
    </row>
    <row r="58">
      <c r="J58" s="9" t="n"/>
      <c r="K58" s="13" t="n"/>
      <c r="L58" s="270" t="n"/>
      <c r="M58" s="291" t="inlineStr">
        <is>
          <t>미수금</t>
        </is>
      </c>
      <c r="N58" s="283">
        <f>B35</f>
        <v/>
      </c>
    </row>
    <row r="59">
      <c r="J59" s="9" t="n"/>
      <c r="K59" s="13" t="n"/>
      <c r="L59" s="270" t="n"/>
      <c r="M59" s="291" t="n"/>
      <c r="N59" s="283" t="n"/>
    </row>
    <row r="60">
      <c r="J60" s="9" t="n"/>
      <c r="K60" s="13" t="n"/>
      <c r="L60" s="270" t="n"/>
      <c r="M60" s="291" t="n"/>
      <c r="N60" s="283" t="n"/>
      <c r="Q60" s="262">
        <f>123727841-123715241</f>
        <v/>
      </c>
    </row>
    <row r="61" ht="16.2" customHeight="1" s="243" thickBot="1">
      <c r="K61" s="292" t="n"/>
      <c r="L61" s="293">
        <f>SUM(L52:L58)</f>
        <v/>
      </c>
      <c r="M61" s="293" t="n"/>
      <c r="N61" s="294">
        <f>SUM(N52:N58)</f>
        <v/>
      </c>
    </row>
  </sheetData>
  <mergeCells count="5">
    <mergeCell ref="A39:A41"/>
    <mergeCell ref="D39:D41"/>
    <mergeCell ref="I39:I41"/>
    <mergeCell ref="L39:L41"/>
    <mergeCell ref="K39:K41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5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X60"/>
  <sheetViews>
    <sheetView zoomScale="85" zoomScaleNormal="85" workbookViewId="0">
      <pane xSplit="1" ySplit="3" topLeftCell="B4" activePane="bottomRight" state="frozen"/>
      <selection activeCell="I16" sqref="I16"/>
      <selection pane="topRight" activeCell="I16" sqref="I16"/>
      <selection pane="bottomLeft" activeCell="I16" sqref="I16"/>
      <selection pane="bottomRight" activeCell="B1" sqref="B1:E1"/>
    </sheetView>
  </sheetViews>
  <sheetFormatPr baseColWidth="8" defaultColWidth="8.8984375" defaultRowHeight="15.6"/>
  <cols>
    <col width="10" customWidth="1" style="110" min="1" max="1"/>
    <col width="14.3984375" customWidth="1" style="230" min="2" max="2"/>
    <col width="12.69921875" bestFit="1" customWidth="1" style="230" min="3" max="3"/>
    <col width="13.69921875" bestFit="1" customWidth="1" style="230" min="4" max="4"/>
    <col width="11.8984375" bestFit="1" customWidth="1" style="230" min="5" max="5"/>
    <col width="11.8984375" customWidth="1" style="230" min="6" max="6"/>
    <col width="11.8984375" bestFit="1" customWidth="1" style="230" min="7" max="7"/>
    <col width="14.3984375" customWidth="1" style="230" min="8" max="8"/>
    <col width="12.19921875" bestFit="1" customWidth="1" style="230" min="9" max="9"/>
    <col width="11.3984375" customWidth="1" style="230" min="10" max="10"/>
    <col width="14.09765625" customWidth="1" style="230" min="11" max="11"/>
    <col width="13.69921875" customWidth="1" style="230" min="12" max="17"/>
    <col width="13.69921875" bestFit="1" customWidth="1" style="230" min="18" max="18"/>
    <col width="13.69921875" customWidth="1" style="230" min="19" max="19"/>
    <col width="8.8984375" customWidth="1" style="230" min="20" max="16384"/>
  </cols>
  <sheetData>
    <row r="1" ht="28.5" customHeight="1" s="243">
      <c r="A1" s="207" t="n"/>
      <c r="B1" s="230" t="inlineStr">
        <is>
          <t>㈜동민수산</t>
        </is>
      </c>
      <c r="C1" s="230" t="inlineStr">
        <is>
          <t>시마스시</t>
        </is>
      </c>
      <c r="D1" s="230" t="inlineStr">
        <is>
          <t>837-85-00715</t>
        </is>
      </c>
      <c r="E1" s="231" t="inlineStr">
        <is>
          <t>000715</t>
        </is>
      </c>
      <c r="F1" s="207" t="n"/>
      <c r="G1" s="207" t="n"/>
      <c r="H1" s="207" t="n"/>
      <c r="I1" s="207" t="n"/>
      <c r="J1" s="81" t="n"/>
      <c r="K1" s="80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U8" s="230" t="n"/>
      <c r="V8" s="230" t="n"/>
      <c r="W8" s="230" t="n"/>
      <c r="X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  <c r="W9" s="230" t="n"/>
      <c r="X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  <c r="W10" s="230" t="n"/>
      <c r="X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  <c r="W11" s="230" t="n"/>
      <c r="X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U12" s="230" t="n"/>
      <c r="V12" s="230" t="n"/>
      <c r="W12" s="230" t="n"/>
      <c r="X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62" t="n"/>
      <c r="V13" s="230" t="n"/>
      <c r="W13" s="230" t="n"/>
      <c r="X13" s="230" t="n"/>
    </row>
    <row r="14" ht="19.2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30" t="n"/>
      <c r="W14" s="230" t="n"/>
      <c r="X14" s="230" t="n"/>
    </row>
    <row r="15" ht="19.95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  <c r="X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</row>
    <row r="17" ht="19.95" customFormat="1" customHeight="1" s="72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  <c r="V17" s="230" t="n"/>
    </row>
    <row r="18" ht="19.95" customHeight="1" s="243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Format="1" customHeight="1" s="72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  <c r="U27" s="230" t="n"/>
      <c r="V27" s="230" t="n"/>
      <c r="W27" s="230" t="n"/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Format="1" customHeight="1" s="72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  <c r="U31" s="230" t="n"/>
      <c r="V31" s="230" t="n"/>
      <c r="W31" s="230" t="n"/>
    </row>
    <row r="32" ht="19.95" customFormat="1" customHeight="1" s="72">
      <c r="A32" s="70" t="n">
        <v>46110</v>
      </c>
      <c r="B32" s="254" t="n">
        <v>271000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707500</v>
      </c>
      <c r="N32" s="261" t="n">
        <v>0</v>
      </c>
      <c r="O32" s="261" t="n">
        <v>1344000</v>
      </c>
      <c r="P32" s="261" t="n">
        <v>651000</v>
      </c>
      <c r="Q32" s="261" t="n">
        <v>1402500</v>
      </c>
      <c r="R32" s="261" t="n">
        <v>594500</v>
      </c>
      <c r="S32" s="261" t="n">
        <v>1874000</v>
      </c>
      <c r="T32" s="261" t="n">
        <v>761500</v>
      </c>
      <c r="U32" s="230" t="n">
        <v>624000</v>
      </c>
      <c r="V32" s="230" t="n"/>
      <c r="W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96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>
      <c r="A37" s="68" t="inlineStr">
        <is>
          <t>해외카드 결제분 있을 시, BC카드 가맹점 홈페이지 확인</t>
        </is>
      </c>
      <c r="B37" s="67" t="n"/>
      <c r="E37" s="262" t="n"/>
      <c r="F37" s="262" t="n"/>
      <c r="G37" s="262" t="n"/>
      <c r="H37" s="67" t="n"/>
      <c r="I37" s="262" t="n"/>
      <c r="J37" s="262" t="n"/>
      <c r="K37" s="262" t="n"/>
      <c r="L37" s="262" t="n"/>
      <c r="M37" s="262" t="n"/>
      <c r="N37" s="262" t="n"/>
      <c r="O37" s="262" t="n"/>
      <c r="P37" s="262" t="n"/>
      <c r="Q37" s="262" t="n"/>
    </row>
    <row r="38" ht="16.2" customHeight="1" s="243" thickBot="1">
      <c r="A38" s="66" t="n"/>
    </row>
    <row r="39">
      <c r="A39" s="265" t="inlineStr">
        <is>
          <t>적용기간</t>
        </is>
      </c>
      <c r="B39" s="61" t="inlineStr">
        <is>
          <t>25.02.01~25.12.08</t>
        </is>
      </c>
      <c r="C39" s="266" t="n">
        <v>0.17</v>
      </c>
      <c r="D39" s="267" t="n"/>
      <c r="E39" s="327" t="n"/>
      <c r="F39" s="327" t="n"/>
      <c r="G39" s="327" t="n"/>
      <c r="H39" s="42" t="inlineStr">
        <is>
          <t>임대을매출</t>
        </is>
      </c>
      <c r="I39" s="278">
        <f>E35</f>
        <v/>
      </c>
      <c r="J39" s="40" t="inlineStr">
        <is>
          <t>임대을매출원가</t>
        </is>
      </c>
      <c r="K39" s="279">
        <f>I41</f>
        <v/>
      </c>
      <c r="L39" s="48" t="n"/>
      <c r="M39" s="260" t="n"/>
      <c r="R39" s="267" t="n"/>
    </row>
    <row r="40">
      <c r="A40" s="315" t="n"/>
      <c r="B40" s="123" t="inlineStr">
        <is>
          <t>25.12.09~26.12.08</t>
        </is>
      </c>
      <c r="C40" s="316" t="n">
        <v>0.18</v>
      </c>
      <c r="D40" s="317" t="n"/>
      <c r="F40" s="327" t="n"/>
      <c r="H40" s="13" t="n"/>
      <c r="I40" s="270" t="n"/>
      <c r="J40" s="48" t="n"/>
      <c r="K40" s="283" t="n"/>
      <c r="L40" s="48" t="n"/>
      <c r="M40" s="260" t="n"/>
      <c r="R40" s="317" t="n"/>
    </row>
    <row r="41" ht="16.2" customHeight="1" s="243" thickBot="1">
      <c r="A41" s="271" t="n"/>
      <c r="B41" s="100" t="inlineStr">
        <is>
          <t>26.12.09~27.12.08</t>
        </is>
      </c>
      <c r="C41" s="321" t="n">
        <v>0.18</v>
      </c>
      <c r="D41" s="273" t="n"/>
      <c r="F41" s="327" t="n"/>
      <c r="H41" s="13" t="inlineStr">
        <is>
          <t>임대을매출원가</t>
        </is>
      </c>
      <c r="I41" s="270">
        <f>G44</f>
        <v/>
      </c>
      <c r="J41" s="48" t="inlineStr">
        <is>
          <t>임대을매출_할인</t>
        </is>
      </c>
      <c r="K41" s="283">
        <f>D35</f>
        <v/>
      </c>
      <c r="L41" s="48" t="n"/>
      <c r="M41" s="260" t="n"/>
      <c r="R41" s="273" t="n"/>
    </row>
    <row r="42">
      <c r="A42" s="53" t="n"/>
      <c r="B42" s="110" t="n"/>
      <c r="C42" s="113" t="inlineStr">
        <is>
          <t>~27.12.08</t>
        </is>
      </c>
      <c r="D42" s="328" t="n"/>
      <c r="E42" s="277" t="n"/>
      <c r="F42" s="277" t="n"/>
      <c r="G42" s="277" t="n"/>
      <c r="H42" s="13" t="n"/>
      <c r="I42" s="270" t="n"/>
      <c r="J42" s="48" t="inlineStr">
        <is>
          <t>임대을매출_수수료</t>
        </is>
      </c>
      <c r="K42" s="283">
        <f>B44</f>
        <v/>
      </c>
      <c r="R42" s="328" t="n"/>
    </row>
    <row r="43">
      <c r="A43" s="94" t="inlineStr">
        <is>
          <t>수수료율</t>
        </is>
      </c>
      <c r="B43" s="95" t="n">
        <v>0.18</v>
      </c>
      <c r="C43" s="94" t="inlineStr">
        <is>
          <t>최저</t>
        </is>
      </c>
      <c r="D43" s="131" t="n"/>
      <c r="F43" s="260" t="n"/>
      <c r="G43" s="270" t="n"/>
      <c r="H43" s="13" t="n"/>
      <c r="I43" s="270" t="n"/>
      <c r="J43" s="48" t="inlineStr">
        <is>
          <t>예수부가세</t>
        </is>
      </c>
      <c r="K43" s="283">
        <f>B45</f>
        <v/>
      </c>
      <c r="R43" s="95" t="n"/>
    </row>
    <row r="44">
      <c r="A44" s="94" t="inlineStr">
        <is>
          <t>임대료</t>
        </is>
      </c>
      <c r="B44" s="307">
        <f>ROUND(B46/1.1,0)</f>
        <v/>
      </c>
      <c r="C44" s="308" t="n">
        <v>13644000</v>
      </c>
      <c r="D44" s="329" t="n"/>
      <c r="F44" s="33" t="inlineStr">
        <is>
          <t>매출원가</t>
        </is>
      </c>
      <c r="G44" s="260">
        <f>E35-B44-D44</f>
        <v/>
      </c>
      <c r="H44" s="13" t="n"/>
      <c r="I44" s="270" t="n"/>
      <c r="J44" s="48" t="inlineStr">
        <is>
          <t>미지급금</t>
        </is>
      </c>
      <c r="K44" s="289">
        <f>G45+E47</f>
        <v/>
      </c>
      <c r="R44" s="307" t="n"/>
    </row>
    <row r="45">
      <c r="A45" s="94" t="inlineStr">
        <is>
          <t>VAT</t>
        </is>
      </c>
      <c r="B45" s="307">
        <f>+B46-B44</f>
        <v/>
      </c>
      <c r="C45" s="309">
        <f>C44/10</f>
        <v/>
      </c>
      <c r="D45" s="329" t="n"/>
      <c r="F45" s="33" t="inlineStr">
        <is>
          <t>미지급금</t>
        </is>
      </c>
      <c r="G45" s="284">
        <f>C35-B46-D46</f>
        <v/>
      </c>
      <c r="H45" s="13" t="n"/>
      <c r="I45" s="270" t="n"/>
      <c r="J45" s="291" t="inlineStr">
        <is>
          <t>미수금</t>
        </is>
      </c>
      <c r="K45" s="283">
        <f>G46</f>
        <v/>
      </c>
      <c r="R45" s="307" t="n"/>
    </row>
    <row r="46">
      <c r="A46" s="94" t="inlineStr">
        <is>
          <t>합계</t>
        </is>
      </c>
      <c r="B46" s="310">
        <f>E35*B43</f>
        <v/>
      </c>
      <c r="C46" s="309">
        <f>C45+C44</f>
        <v/>
      </c>
      <c r="D46" s="330" t="n"/>
      <c r="F46" s="33" t="inlineStr">
        <is>
          <t>미수금</t>
        </is>
      </c>
      <c r="G46" s="260">
        <f>B35</f>
        <v/>
      </c>
      <c r="H46" s="13" t="n"/>
      <c r="I46" s="270" t="n"/>
      <c r="J46" s="291" t="n"/>
      <c r="K46" s="283" t="n"/>
      <c r="R46" s="310" t="n"/>
    </row>
    <row r="47" customFormat="1" s="9">
      <c r="A47" s="27" t="n"/>
      <c r="B47" s="26" t="n"/>
      <c r="C47" s="262">
        <f>C44/31*8</f>
        <v/>
      </c>
      <c r="D47" s="262">
        <f>D44/31*23</f>
        <v/>
      </c>
      <c r="E47" s="270" t="n"/>
      <c r="F47" s="270" t="n"/>
      <c r="G47" s="270" t="n"/>
      <c r="H47" s="13" t="n"/>
      <c r="I47" s="270" t="n"/>
      <c r="J47" s="291" t="n"/>
      <c r="K47" s="283" t="n"/>
      <c r="L47" s="230" t="n"/>
      <c r="Q47" s="230" t="n"/>
      <c r="R47" s="262">
        <f>R44/31*23</f>
        <v/>
      </c>
    </row>
    <row r="48" ht="16.2" customFormat="1" customHeight="1" s="9" thickBot="1">
      <c r="A48" s="20" t="inlineStr">
        <is>
          <t xml:space="preserve"> * 당사 카드 단말기 사용 (국민 004-04-0415-258 계좌)</t>
        </is>
      </c>
      <c r="B48" s="262" t="n"/>
      <c r="E48" s="270" t="n"/>
      <c r="F48" s="85" t="n"/>
      <c r="G48" s="270" t="n"/>
      <c r="H48" s="292" t="n"/>
      <c r="I48" s="293">
        <f>SUM(I39:I45)</f>
        <v/>
      </c>
      <c r="J48" s="293" t="n"/>
      <c r="K48" s="294">
        <f>SUM(K39:K45)</f>
        <v/>
      </c>
      <c r="L48" s="230" t="n"/>
      <c r="Q48" s="230" t="n"/>
    </row>
    <row r="49" customFormat="1" s="9">
      <c r="A49" s="20" t="inlineStr">
        <is>
          <t xml:space="preserve"> * 기간 24년 11월 14일까지</t>
        </is>
      </c>
      <c r="B49" s="19" t="n"/>
      <c r="C49" s="18" t="n"/>
      <c r="D49" s="14" t="n"/>
      <c r="E49" s="85" t="n"/>
      <c r="F49" s="85" t="n"/>
      <c r="G49" s="290" t="n"/>
      <c r="L49" s="230" t="n"/>
      <c r="Q49" s="230" t="n"/>
      <c r="R49" s="14" t="n"/>
    </row>
    <row r="50" customFormat="1" s="9">
      <c r="A50" s="14" t="n"/>
      <c r="B50" s="17" t="n"/>
      <c r="C50" s="16" t="n"/>
      <c r="D50" s="14" t="n"/>
      <c r="E50" s="85" t="n"/>
      <c r="F50" s="85" t="n"/>
      <c r="G50" s="290" t="n"/>
      <c r="L50" s="230" t="n"/>
      <c r="Q50" s="230" t="n"/>
      <c r="R50" s="14" t="n"/>
    </row>
    <row r="51" customFormat="1" s="9">
      <c r="A51" s="9" t="inlineStr">
        <is>
          <t>* 상품대지급일 (익월 25일까지) - 카드매출금에서 수수료 제외 후 입금</t>
        </is>
      </c>
      <c r="E51" s="85" t="n"/>
      <c r="F51" s="9" t="n"/>
      <c r="G51" s="290" t="n"/>
      <c r="L51" s="230" t="n"/>
      <c r="Q51" s="230" t="n"/>
    </row>
    <row r="52" customFormat="1" s="9">
      <c r="E52" s="9" t="n"/>
      <c r="G52" s="9" t="n"/>
      <c r="L52" s="230" t="n"/>
      <c r="Q52" s="230" t="n"/>
    </row>
    <row r="53" customFormat="1" s="9">
      <c r="B53" s="9" t="inlineStr">
        <is>
          <t>임대보증금</t>
        </is>
      </c>
      <c r="D53" s="295" t="n"/>
      <c r="L53" s="230" t="n"/>
      <c r="Q53" s="230" t="n"/>
      <c r="R53" s="295" t="n"/>
    </row>
    <row r="54" customFormat="1" s="9">
      <c r="D54" s="295" t="n"/>
      <c r="L54" s="230" t="n"/>
      <c r="Q54" s="230" t="n"/>
      <c r="R54" s="295" t="n"/>
    </row>
    <row r="55" customFormat="1" s="9">
      <c r="D55" s="295" t="n"/>
      <c r="L55" s="230" t="n"/>
      <c r="Q55" s="230" t="n"/>
      <c r="R55" s="295" t="n"/>
    </row>
    <row r="56">
      <c r="E56" s="9" t="n"/>
      <c r="G56" s="9" t="n"/>
    </row>
    <row r="60">
      <c r="M60" s="262">
        <f>123727841-123715241</f>
        <v/>
      </c>
    </row>
  </sheetData>
  <mergeCells count="5">
    <mergeCell ref="A39:A41"/>
    <mergeCell ref="D39:D41"/>
    <mergeCell ref="E39:E41"/>
    <mergeCell ref="G39:G41"/>
    <mergeCell ref="R39:R41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V57"/>
  <sheetViews>
    <sheetView zoomScaleNormal="100" workbookViewId="0">
      <pane xSplit="1" ySplit="3" topLeftCell="H22" activePane="bottomRight" state="frozen"/>
      <selection activeCell="I16" sqref="I16"/>
      <selection pane="topRight" activeCell="I16" sqref="I16"/>
      <selection pane="bottomLeft" activeCell="I16" sqref="I16"/>
      <selection pane="bottomRight" activeCell="K50" sqref="K50"/>
    </sheetView>
  </sheetViews>
  <sheetFormatPr baseColWidth="8" defaultColWidth="8.8984375" defaultRowHeight="15.6"/>
  <cols>
    <col width="10.69921875" customWidth="1" style="110" min="1" max="1"/>
    <col width="12.3984375" customWidth="1" style="230" min="2" max="2"/>
    <col width="14" customWidth="1" style="230" min="3" max="3"/>
    <col width="12.3984375" customWidth="1" style="230" min="4" max="4"/>
    <col width="12.8984375" customWidth="1" style="230" min="5" max="7"/>
    <col width="11.8984375" customWidth="1" style="230" min="8" max="8"/>
    <col width="13.69921875" customWidth="1" style="230" min="9" max="9"/>
    <col width="11.3984375" customWidth="1" style="230" min="10" max="10"/>
    <col width="13.69921875" customWidth="1" style="230" min="11" max="13"/>
    <col width="14.8984375" customWidth="1" style="230" min="14" max="14"/>
    <col width="13.69921875" customWidth="1" style="230" min="15" max="17"/>
    <col width="12.3984375" customWidth="1" style="230" min="18" max="18"/>
    <col width="13.69921875" customWidth="1" style="230" min="19" max="19"/>
    <col width="8.8984375" customWidth="1" style="230" min="20" max="20"/>
    <col width="11" bestFit="1" customWidth="1" style="230" min="21" max="21"/>
    <col width="8.8984375" customWidth="1" style="230" min="22" max="16384"/>
  </cols>
  <sheetData>
    <row r="1" ht="28.5" customHeight="1" s="243">
      <c r="A1" s="207" t="n"/>
      <c r="B1" s="230" t="inlineStr">
        <is>
          <t>배꼽집 더 클래식</t>
        </is>
      </c>
      <c r="C1" s="230" t="inlineStr">
        <is>
          <t>배꼽집</t>
        </is>
      </c>
      <c r="D1" s="230" t="inlineStr">
        <is>
          <t>613-86-03132</t>
        </is>
      </c>
      <c r="E1" s="231" t="inlineStr">
        <is>
          <t>003132</t>
        </is>
      </c>
      <c r="F1" s="207" t="n"/>
      <c r="G1" s="207" t="n"/>
      <c r="H1" s="207" t="n"/>
      <c r="I1" s="207" t="n"/>
      <c r="N1" s="207" t="n"/>
      <c r="O1" s="207" t="n"/>
      <c r="P1" s="207" t="n"/>
      <c r="Q1" s="207" t="n"/>
      <c r="R1" s="207" t="n"/>
      <c r="S1" s="207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customForma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</row>
    <row r="9" ht="19.95" customFormat="1" customHeight="1" s="72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</row>
    <row r="10" ht="19.95" customFormat="1" customHeight="1" s="72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</row>
    <row r="11" ht="19.95" customFormat="1" customHeight="1" s="72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</row>
    <row r="15" ht="19.95" customFormat="1" customHeight="1" s="72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30" t="n"/>
      <c r="V15" s="230" t="n"/>
    </row>
    <row r="16" ht="19.95" customFormat="1" customHeight="1" s="72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30" t="n"/>
      <c r="V16" s="230" t="n"/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</row>
    <row r="18" ht="19.95" customHeight="1" s="243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62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  <c r="U24" s="154" t="n"/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  <c r="U25" s="153" t="n"/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  <c r="U26" s="153" t="n"/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  <c r="U27" s="153" t="n"/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  <c r="U28" s="153" t="n"/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Height="1" s="243">
      <c r="A32" s="70" t="n">
        <v>46110</v>
      </c>
      <c r="B32" s="254" t="n">
        <v>34000</v>
      </c>
      <c r="C32" s="255" t="n">
        <v>0</v>
      </c>
      <c r="D32" s="256" t="n"/>
      <c r="E32" s="257" t="n">
        <v>1200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677480</v>
      </c>
      <c r="N32" s="261" t="n">
        <v>0</v>
      </c>
      <c r="O32" s="261" t="n">
        <v>1217560</v>
      </c>
      <c r="P32" s="261" t="n">
        <v>374120</v>
      </c>
      <c r="Q32" s="261" t="n">
        <v>600000</v>
      </c>
      <c r="R32" s="261" t="n">
        <v>101000</v>
      </c>
      <c r="S32" s="261" t="n">
        <v>282040</v>
      </c>
      <c r="T32" s="261" t="n">
        <v>388080</v>
      </c>
      <c r="U32" t="n">
        <v>550320</v>
      </c>
    </row>
    <row r="33" ht="19.95" customHeight="1" s="243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</row>
    <row r="34" ht="19.95" customHeight="1" s="243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61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 ht="19.95" customHeight="1" s="243">
      <c r="A37" s="228" t="n"/>
      <c r="B37" s="296" t="n"/>
      <c r="C37" s="261" t="n"/>
      <c r="D37" s="261" t="n"/>
      <c r="E37" s="261" t="n"/>
      <c r="F37" s="261" t="n"/>
      <c r="G37" s="261" t="n"/>
      <c r="H37" s="261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</row>
    <row r="38">
      <c r="A38" s="68" t="inlineStr">
        <is>
          <t>해외카드 결제분 있을 시, BC카드 가맹점 홈페이지 확인</t>
        </is>
      </c>
      <c r="B38" s="67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  <c r="S38" s="262" t="n"/>
    </row>
    <row r="39">
      <c r="A39" s="152" t="inlineStr">
        <is>
          <t xml:space="preserve">bkjtheclassic@gmail.com' </t>
        </is>
      </c>
      <c r="C39" s="262" t="inlineStr">
        <is>
          <t>10일 이내 정산내역서 송부(010-3447-9098)</t>
        </is>
      </c>
      <c r="E39" s="262" t="n"/>
      <c r="F39" s="262" t="n"/>
      <c r="G39" s="262" t="n"/>
    </row>
    <row r="40" ht="16.2" customHeight="1" s="243" thickBot="1">
      <c r="A40" s="94" t="inlineStr">
        <is>
          <t>수수료율</t>
        </is>
      </c>
      <c r="B40" s="151" t="n">
        <v>0.095</v>
      </c>
      <c r="C40" s="150" t="inlineStr">
        <is>
          <t>최저</t>
        </is>
      </c>
    </row>
    <row r="41">
      <c r="A41" s="94" t="inlineStr">
        <is>
          <t>임대료</t>
        </is>
      </c>
      <c r="B41" s="259">
        <f>(L41+L44)*B40</f>
        <v/>
      </c>
      <c r="C41" s="331" t="n">
        <v>17000000</v>
      </c>
      <c r="D41" s="262" t="n"/>
      <c r="F41" s="42" t="inlineStr">
        <is>
          <t>임대을매출</t>
        </is>
      </c>
      <c r="G41" s="278">
        <f>+E35</f>
        <v/>
      </c>
      <c r="H41" s="40" t="inlineStr">
        <is>
          <t>임대을매출원가</t>
        </is>
      </c>
      <c r="I41" s="279">
        <f>+B45</f>
        <v/>
      </c>
      <c r="J41" s="72" t="n"/>
      <c r="K41" s="230" t="inlineStr">
        <is>
          <t>과세</t>
        </is>
      </c>
      <c r="L41" s="262">
        <f>L43-L42</f>
        <v/>
      </c>
      <c r="N41" s="145" t="inlineStr">
        <is>
          <t>식 걸려있는대로</t>
        </is>
      </c>
    </row>
    <row r="42">
      <c r="A42" s="94" t="inlineStr">
        <is>
          <t>VAT</t>
        </is>
      </c>
      <c r="B42" s="259">
        <f>+B41*0.1</f>
        <v/>
      </c>
      <c r="C42" s="332" t="n">
        <v>1700000</v>
      </c>
      <c r="D42" s="262" t="n"/>
      <c r="F42" s="13" t="inlineStr">
        <is>
          <t>임대을매출원가</t>
        </is>
      </c>
      <c r="G42" s="270">
        <f>+B45</f>
        <v/>
      </c>
      <c r="H42" s="48" t="inlineStr">
        <is>
          <t>임대을매출_할인</t>
        </is>
      </c>
      <c r="I42" s="283">
        <f>B46</f>
        <v/>
      </c>
      <c r="K42" s="230" t="inlineStr">
        <is>
          <t>부가세</t>
        </is>
      </c>
      <c r="L42" s="333" t="n">
        <v>7394514</v>
      </c>
      <c r="M42" s="262" t="n"/>
      <c r="N42" s="145" t="inlineStr">
        <is>
          <t>순매출액 옆 부가세</t>
        </is>
      </c>
    </row>
    <row r="43">
      <c r="A43" s="94" t="inlineStr">
        <is>
          <t>합계</t>
        </is>
      </c>
      <c r="B43" s="309">
        <f>+B41+B42</f>
        <v/>
      </c>
      <c r="C43" s="332">
        <f>SUM(C41:C42)</f>
        <v/>
      </c>
      <c r="D43" s="262" t="n"/>
      <c r="F43" s="13" t="n"/>
      <c r="G43" s="270" t="n"/>
      <c r="H43" s="48" t="inlineStr">
        <is>
          <t>임대을매출_수수료</t>
        </is>
      </c>
      <c r="I43" s="283">
        <f>C41</f>
        <v/>
      </c>
      <c r="K43" s="230" t="inlineStr">
        <is>
          <t>과세합계</t>
        </is>
      </c>
      <c r="L43" s="262" t="n">
        <v>81339091</v>
      </c>
      <c r="M43" s="262" t="n"/>
      <c r="N43" s="145" t="inlineStr">
        <is>
          <t>과세매출</t>
        </is>
      </c>
    </row>
    <row r="44" ht="17.4" customHeight="1" s="243">
      <c r="A44" s="146" t="n"/>
      <c r="E44" s="260" t="n"/>
      <c r="F44" s="13" t="n"/>
      <c r="G44" s="270" t="n"/>
      <c r="H44" s="48" t="inlineStr">
        <is>
          <t>예수부가세</t>
        </is>
      </c>
      <c r="I44" s="283">
        <f>C42</f>
        <v/>
      </c>
      <c r="K44" s="230" t="inlineStr">
        <is>
          <t>면세</t>
        </is>
      </c>
      <c r="L44" s="262" t="n">
        <v>52280513</v>
      </c>
      <c r="M44" s="262" t="n"/>
      <c r="N44" s="145" t="inlineStr">
        <is>
          <t>면세매출</t>
        </is>
      </c>
    </row>
    <row r="45">
      <c r="A45" s="110" t="inlineStr">
        <is>
          <t>매출원가</t>
        </is>
      </c>
      <c r="B45" s="260">
        <f>E35-C41</f>
        <v/>
      </c>
      <c r="E45" s="284" t="n"/>
      <c r="F45" s="334" t="n"/>
      <c r="G45" s="230" t="n"/>
      <c r="H45" s="143" t="inlineStr">
        <is>
          <t>미지급금</t>
        </is>
      </c>
      <c r="I45" s="335">
        <f>+B47</f>
        <v/>
      </c>
      <c r="K45" s="230" t="inlineStr">
        <is>
          <t>총매출액</t>
        </is>
      </c>
      <c r="L45" s="262" t="n">
        <v>133939816</v>
      </c>
      <c r="N45" s="145" t="inlineStr">
        <is>
          <t>총매출액</t>
        </is>
      </c>
    </row>
    <row r="46">
      <c r="A46" s="110" t="inlineStr">
        <is>
          <t>할인</t>
        </is>
      </c>
      <c r="B46" s="260">
        <f>D35</f>
        <v/>
      </c>
      <c r="E46" s="260" t="n"/>
      <c r="F46" s="334" t="n"/>
      <c r="G46" s="230" t="n"/>
      <c r="H46" s="140" t="inlineStr">
        <is>
          <t>미수금</t>
        </is>
      </c>
      <c r="I46" s="283">
        <f>+B35</f>
        <v/>
      </c>
    </row>
    <row r="47" customFormat="1" s="9">
      <c r="A47" s="110" t="inlineStr">
        <is>
          <t>미지급금</t>
        </is>
      </c>
      <c r="B47" s="260">
        <f>C35-C43</f>
        <v/>
      </c>
      <c r="C47" s="230" t="n"/>
      <c r="D47" s="230" t="n"/>
      <c r="E47" s="270" t="n"/>
      <c r="F47" s="13" t="n"/>
      <c r="G47" s="270">
        <f>SUM(G41:G46)</f>
        <v/>
      </c>
      <c r="H47" s="270" t="n"/>
      <c r="I47" s="336">
        <f>SUM(I41:I46)</f>
        <v/>
      </c>
      <c r="J47" s="270" t="n"/>
      <c r="K47" s="230" t="n"/>
      <c r="L47" s="230" t="n"/>
      <c r="M47" s="230" t="n"/>
      <c r="N47" s="230" t="n"/>
    </row>
    <row r="48" ht="16.2" customFormat="1" customHeight="1" s="9" thickBot="1">
      <c r="A48" s="27" t="n"/>
      <c r="B48" s="26" t="n"/>
      <c r="E48" s="270" t="n"/>
      <c r="F48" s="138" t="n"/>
      <c r="G48" s="137" t="n"/>
      <c r="H48" s="136" t="n"/>
      <c r="I48" s="337" t="n"/>
      <c r="J48" s="270" t="n"/>
      <c r="K48" s="270" t="n"/>
      <c r="L48" s="270" t="n"/>
      <c r="M48" s="230" t="n"/>
    </row>
    <row r="49" customFormat="1" s="9">
      <c r="A49" s="20" t="inlineStr">
        <is>
          <t>* 당사 카드 단말기 사용 (국민 004-01-0415258 계좌)</t>
        </is>
      </c>
      <c r="B49" s="262" t="n"/>
      <c r="E49" s="85" t="n"/>
      <c r="F49" s="85" t="n"/>
      <c r="G49" s="290" t="n"/>
      <c r="H49" s="9" t="n"/>
    </row>
    <row r="50" customFormat="1" s="9">
      <c r="A50" s="9" t="inlineStr">
        <is>
          <t>* 상품대지급일 (익월 25일까지) - 카드매출금에서 수수료 제외 후 입금</t>
        </is>
      </c>
      <c r="B50" s="19" t="n"/>
      <c r="C50" s="18" t="n"/>
      <c r="D50" s="18" t="n"/>
      <c r="E50" s="85" t="n"/>
      <c r="F50" s="85" t="n"/>
      <c r="G50" s="290" t="n"/>
      <c r="H50" s="9" t="n"/>
      <c r="P50" s="262" t="n"/>
      <c r="R50" s="18" t="n"/>
    </row>
    <row r="51" customFormat="1" s="9">
      <c r="A51" s="14" t="n"/>
      <c r="B51" s="17" t="n"/>
      <c r="C51" s="16" t="n"/>
      <c r="D51" s="16" t="n"/>
      <c r="E51" s="14" t="n"/>
      <c r="F51" s="14" t="n"/>
      <c r="G51" s="14" t="n"/>
      <c r="H51" s="262" t="n"/>
      <c r="J51" s="9" t="n"/>
      <c r="K51" s="13" t="n"/>
      <c r="L51" s="270" t="n"/>
      <c r="M51" s="48" t="n"/>
      <c r="N51" s="283" t="n"/>
      <c r="O51" s="230" t="n"/>
      <c r="P51" s="230" t="n"/>
      <c r="Q51" s="230" t="n"/>
      <c r="R51" s="16" t="n"/>
    </row>
    <row r="52" customFormat="1" s="9">
      <c r="H52" s="262" t="n"/>
      <c r="I52" s="144" t="n"/>
      <c r="K52" s="13" t="n"/>
      <c r="L52" s="270" t="n"/>
      <c r="M52" s="48" t="n"/>
      <c r="N52" s="283" t="n"/>
      <c r="O52" s="260" t="n"/>
      <c r="P52" s="230" t="n"/>
      <c r="Q52" s="230" t="n"/>
    </row>
    <row r="53" customFormat="1" s="9">
      <c r="H53" s="262" t="n"/>
      <c r="K53" s="13" t="n"/>
      <c r="L53" s="270" t="n"/>
      <c r="M53" s="48" t="n"/>
      <c r="N53" s="283" t="n"/>
      <c r="O53" s="230" t="n"/>
      <c r="P53" s="230" t="n"/>
      <c r="Q53" s="230" t="n"/>
    </row>
    <row r="54">
      <c r="A54" s="9" t="n"/>
      <c r="B54" s="9" t="n"/>
      <c r="C54" s="9" t="n"/>
      <c r="D54" s="9" t="n"/>
      <c r="E54" s="295" t="n"/>
      <c r="F54" s="295" t="n"/>
      <c r="G54" s="295" t="n"/>
      <c r="J54" s="9" t="n"/>
      <c r="K54" s="334" t="n"/>
      <c r="L54" s="230" t="n"/>
      <c r="M54" s="143" t="n"/>
      <c r="N54" s="335" t="n"/>
      <c r="R54" s="9" t="n"/>
    </row>
    <row r="55">
      <c r="J55" s="9" t="n"/>
      <c r="K55" s="334" t="n"/>
      <c r="L55" s="230" t="n"/>
      <c r="M55" s="140" t="n"/>
      <c r="N55" s="283" t="n"/>
    </row>
    <row r="56">
      <c r="K56" s="13" t="n"/>
      <c r="L56" s="270" t="n"/>
      <c r="M56" s="270" t="n"/>
      <c r="N56" s="336" t="n"/>
    </row>
    <row r="57" ht="16.2" customHeight="1" s="243" thickBot="1">
      <c r="K57" s="138" t="n"/>
      <c r="L57" s="137" t="n"/>
      <c r="M57" s="136" t="n"/>
      <c r="N57" s="337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theme="8" tint="-0.249977111117893"/>
    <outlinePr summaryBelow="1" summaryRight="1"/>
    <pageSetUpPr fitToPage="1"/>
  </sheetPr>
  <dimension ref="A1:W67"/>
  <sheetViews>
    <sheetView zoomScale="88" zoomScaleNormal="88" workbookViewId="0">
      <pane xSplit="1" ySplit="3" topLeftCell="B25" activePane="bottomRight" state="frozen"/>
      <selection activeCell="I16" sqref="I16"/>
      <selection pane="topRight" activeCell="I16" sqref="I16"/>
      <selection pane="bottomLeft" activeCell="I16" sqref="I16"/>
      <selection pane="bottomRight" activeCell="B1" sqref="B1"/>
    </sheetView>
  </sheetViews>
  <sheetFormatPr baseColWidth="8" defaultColWidth="8.8984375" defaultRowHeight="15.6"/>
  <cols>
    <col width="10" customWidth="1" style="110" min="1" max="1"/>
    <col width="10.69921875" customWidth="1" style="230" min="2" max="6"/>
    <col width="14.796875" customWidth="1" style="230" min="7" max="7"/>
    <col width="13.8984375" customWidth="1" style="230" min="8" max="8"/>
    <col width="13.69921875" customWidth="1" style="230" min="9" max="9"/>
    <col width="11.3984375" customWidth="1" style="230" min="10" max="10"/>
    <col width="13.69921875" customWidth="1" style="230" min="11" max="17"/>
    <col width="10.69921875" customWidth="1" style="230" min="18" max="18"/>
    <col width="13.69921875" customWidth="1" style="230" min="19" max="19"/>
    <col width="9.8984375" bestFit="1" customWidth="1" style="230" min="20" max="20"/>
    <col width="8.8984375" customWidth="1" style="230" min="21" max="16384"/>
  </cols>
  <sheetData>
    <row r="1" ht="28.5" customHeight="1" s="243">
      <c r="A1" s="207" t="n"/>
      <c r="B1" s="230" t="inlineStr">
        <is>
          <t>카페드페소니아</t>
        </is>
      </c>
      <c r="C1" s="230" t="inlineStr">
        <is>
          <t>카페드페소니아</t>
        </is>
      </c>
      <c r="D1" s="230" t="inlineStr">
        <is>
          <t>436-85-01786</t>
        </is>
      </c>
      <c r="E1" s="231" t="inlineStr">
        <is>
          <t>001786</t>
        </is>
      </c>
      <c r="F1" s="207" t="n"/>
      <c r="G1" s="207" t="n"/>
      <c r="H1" s="207" t="n"/>
      <c r="I1" s="207" t="n"/>
      <c r="J1" s="81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</row>
    <row r="15" ht="19.95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</row>
    <row r="18" ht="19.95" customFormat="1" customHeight="1" s="72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30" t="n"/>
      <c r="V18" s="230" t="n"/>
      <c r="W18" s="230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  <c r="U28" s="153" t="n"/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  <c r="U29" s="153" t="n"/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  <c r="U30" s="153" t="n"/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  <c r="U31" s="153" t="n"/>
    </row>
    <row r="32" ht="19.95" customHeight="1" s="243">
      <c r="A32" s="70" t="n">
        <v>46110</v>
      </c>
      <c r="B32" s="254" t="n">
        <v>0</v>
      </c>
      <c r="C32" s="255" t="n">
        <v>0</v>
      </c>
      <c r="D32" s="256" t="n"/>
      <c r="E32" s="257" t="n">
        <v>4300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73400</v>
      </c>
      <c r="N32" s="261" t="n">
        <v>0</v>
      </c>
      <c r="O32" s="261" t="n">
        <v>304300</v>
      </c>
      <c r="P32" s="261" t="n">
        <v>114400</v>
      </c>
      <c r="Q32" s="261" t="n">
        <v>171700</v>
      </c>
      <c r="R32" s="261" t="n">
        <v>109850</v>
      </c>
      <c r="S32" s="261" t="n">
        <v>102550</v>
      </c>
      <c r="T32" s="261" t="n">
        <v>39900</v>
      </c>
      <c r="U32" s="153" t="n">
        <v>81500</v>
      </c>
    </row>
    <row r="33" ht="19.95" customHeight="1" s="243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153" t="n"/>
    </row>
    <row r="34" ht="19.95" customHeight="1" s="243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153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96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 ht="19.95" customHeight="1" s="243">
      <c r="A37" s="228" t="n"/>
      <c r="B37" s="296" t="n"/>
      <c r="C37" s="261" t="n"/>
      <c r="D37" s="261" t="n"/>
      <c r="E37" s="261" t="n"/>
      <c r="F37" s="261" t="n"/>
      <c r="G37" s="261" t="n"/>
      <c r="H37" s="296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</row>
    <row r="38">
      <c r="A38" s="68" t="inlineStr">
        <is>
          <t>해외카드 결제분 있을 시, BC카드 가맹점 홈페이지 확인</t>
        </is>
      </c>
      <c r="B38" s="67" t="n"/>
      <c r="E38" s="262" t="n"/>
      <c r="F38" s="262" t="n"/>
      <c r="G38" s="262" t="n"/>
      <c r="H38" s="67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</row>
    <row r="39" ht="16.2" customHeight="1" s="243" thickBot="1">
      <c r="A39" s="66" t="n"/>
    </row>
    <row r="40">
      <c r="A40" s="94" t="inlineStr">
        <is>
          <t>수수료율</t>
        </is>
      </c>
      <c r="B40" s="170" t="n">
        <v>0.16</v>
      </c>
      <c r="C40" s="9" t="inlineStr">
        <is>
          <t>2024.07.26~25.07.25</t>
        </is>
      </c>
      <c r="D40" s="9" t="n"/>
      <c r="E40" s="164" t="n"/>
      <c r="F40" s="42" t="inlineStr">
        <is>
          <t>임대을매출</t>
        </is>
      </c>
      <c r="G40" s="278">
        <f>E35</f>
        <v/>
      </c>
      <c r="H40" s="40" t="inlineStr">
        <is>
          <t>임대을매출원가</t>
        </is>
      </c>
      <c r="I40" s="279">
        <f>+B45</f>
        <v/>
      </c>
      <c r="R40" s="9" t="n"/>
    </row>
    <row r="41">
      <c r="A41" s="94" t="inlineStr">
        <is>
          <t>임대료</t>
        </is>
      </c>
      <c r="B41" s="338">
        <f>ROUND(B43/1.1,0)</f>
        <v/>
      </c>
      <c r="C41" s="9" t="n"/>
      <c r="D41" s="169" t="n">
        <v>0.15</v>
      </c>
      <c r="E41" s="164" t="n"/>
      <c r="F41" s="13" t="inlineStr">
        <is>
          <t>임대을매출원가</t>
        </is>
      </c>
      <c r="G41" s="270">
        <f>B45</f>
        <v/>
      </c>
      <c r="H41" s="48" t="inlineStr">
        <is>
          <t>임대을매출_할인</t>
        </is>
      </c>
      <c r="I41" s="283">
        <f>D35</f>
        <v/>
      </c>
      <c r="R41" s="169" t="n">
        <v>0.15</v>
      </c>
    </row>
    <row r="42">
      <c r="A42" s="94" t="inlineStr">
        <is>
          <t>VAT</t>
        </is>
      </c>
      <c r="B42" s="338">
        <f>+B43-B41</f>
        <v/>
      </c>
      <c r="C42" s="83" t="inlineStr">
        <is>
          <t>2025.07.26~26.07.25</t>
        </is>
      </c>
      <c r="D42" s="83" t="n"/>
      <c r="E42" s="164" t="n"/>
      <c r="F42" s="13" t="n"/>
      <c r="G42" s="270" t="n"/>
      <c r="H42" s="48" t="inlineStr">
        <is>
          <t>임대을매출_수수료</t>
        </is>
      </c>
      <c r="I42" s="283">
        <f>B41</f>
        <v/>
      </c>
      <c r="R42" s="83" t="n"/>
    </row>
    <row r="43">
      <c r="A43" s="94" t="inlineStr">
        <is>
          <t>합계</t>
        </is>
      </c>
      <c r="B43" s="339">
        <f>E35*B40</f>
        <v/>
      </c>
      <c r="C43" s="83" t="n"/>
      <c r="D43" s="166" t="n">
        <v>0.16</v>
      </c>
      <c r="E43" s="164" t="n"/>
      <c r="F43" s="13" t="n"/>
      <c r="G43" s="270" t="n"/>
      <c r="H43" s="48" t="inlineStr">
        <is>
          <t>예수부가세</t>
        </is>
      </c>
      <c r="I43" s="283">
        <f>B42</f>
        <v/>
      </c>
      <c r="J43" s="260" t="n"/>
      <c r="R43" s="166" t="n">
        <v>0.16</v>
      </c>
    </row>
    <row r="44" ht="17.4" customHeight="1" s="243">
      <c r="A44" s="146" t="n"/>
      <c r="C44" s="164" t="n"/>
      <c r="D44" s="164" t="n"/>
      <c r="E44" s="164" t="n"/>
      <c r="F44" s="165" t="n"/>
      <c r="G44" s="260" t="n"/>
      <c r="H44" s="230" t="inlineStr">
        <is>
          <t>미지급금</t>
        </is>
      </c>
      <c r="I44" s="283">
        <f>B46</f>
        <v/>
      </c>
      <c r="J44" s="284" t="n"/>
      <c r="K44" s="270" t="n"/>
      <c r="R44" s="164" t="n"/>
    </row>
    <row r="45">
      <c r="A45" s="163" t="inlineStr">
        <is>
          <t>매출원가</t>
        </is>
      </c>
      <c r="B45" s="260">
        <f>E35-B41</f>
        <v/>
      </c>
      <c r="C45" s="164" t="n"/>
      <c r="D45" s="164" t="n"/>
      <c r="E45" s="164" t="n"/>
      <c r="F45" s="334" t="n"/>
      <c r="G45" s="260" t="n"/>
      <c r="H45" s="230" t="inlineStr">
        <is>
          <t>미수금</t>
        </is>
      </c>
      <c r="I45" s="283">
        <f>B35</f>
        <v/>
      </c>
      <c r="J45" s="260" t="n"/>
      <c r="K45" s="270" t="n"/>
      <c r="R45" s="164" t="n"/>
    </row>
    <row r="46" ht="16.2" customHeight="1" s="243" thickBot="1">
      <c r="A46" s="163" t="inlineStr">
        <is>
          <t>미지급금</t>
        </is>
      </c>
      <c r="B46" s="260">
        <f>C35-B43</f>
        <v/>
      </c>
      <c r="F46" s="340" t="n"/>
      <c r="G46" s="293">
        <f>SUM(G40:G41)</f>
        <v/>
      </c>
      <c r="H46" s="161" t="n"/>
      <c r="I46" s="341">
        <f>SUM(I40:I45)</f>
        <v/>
      </c>
      <c r="J46" s="270" t="n"/>
      <c r="K46" s="270">
        <f>SUM(K40:K45)</f>
        <v/>
      </c>
    </row>
    <row r="47" customFormat="1" s="9">
      <c r="A47" s="27" t="n"/>
      <c r="B47" s="26" t="n"/>
      <c r="F47" s="270" t="n"/>
      <c r="G47" s="270" t="n"/>
      <c r="J47" s="270" t="n"/>
      <c r="K47" s="270" t="n"/>
    </row>
    <row r="48" customFormat="1" s="9">
      <c r="A48" s="20" t="inlineStr">
        <is>
          <t xml:space="preserve"> * 당사 카드 단말기 사용 (국민 004-04-0415-258 계좌)</t>
        </is>
      </c>
      <c r="B48" s="262" t="n"/>
      <c r="F48" s="9" t="n"/>
      <c r="J48" s="85" t="n"/>
      <c r="K48" s="290" t="n"/>
    </row>
    <row r="49" customFormat="1" s="9">
      <c r="A49" s="20" t="inlineStr">
        <is>
          <t xml:space="preserve"> * 기간</t>
        </is>
      </c>
      <c r="B49" s="159" t="n"/>
      <c r="C49" s="18" t="n"/>
      <c r="D49" s="14" t="n"/>
      <c r="E49" s="14" t="n"/>
      <c r="F49" s="14" t="n"/>
      <c r="G49" s="14" t="n"/>
      <c r="H49" s="159" t="n"/>
      <c r="I49" s="85" t="n"/>
      <c r="J49" s="85" t="n"/>
      <c r="K49" s="290" t="n"/>
      <c r="L49" s="9" t="n"/>
      <c r="R49" s="14" t="n"/>
    </row>
    <row r="50" customFormat="1" s="9">
      <c r="A50" s="14" t="n"/>
      <c r="B50" s="17" t="n"/>
      <c r="C50" s="16" t="n"/>
      <c r="D50" s="14" t="n"/>
      <c r="E50" s="14" t="n"/>
      <c r="F50" s="14" t="n"/>
      <c r="G50" s="14" t="n"/>
      <c r="H50" s="17" t="n"/>
      <c r="I50" s="85" t="n"/>
      <c r="J50" s="85" t="n"/>
      <c r="L50" s="9" t="n"/>
      <c r="R50" s="14" t="n"/>
    </row>
    <row r="51" customFormat="1" s="9">
      <c r="A51" s="9" t="inlineStr">
        <is>
          <t>* 상품대지급일 (익월 25일까지) - 카드매출금에서 수수료 제외 후 입금</t>
        </is>
      </c>
      <c r="I51" s="9" t="n"/>
      <c r="J51" s="9" t="n"/>
      <c r="K51" s="9" t="n"/>
      <c r="L51" s="9" t="n"/>
      <c r="M51" s="230" t="n"/>
      <c r="N51" s="230" t="n"/>
      <c r="O51" s="230" t="n"/>
      <c r="P51" s="230" t="n"/>
    </row>
    <row r="52" customFormat="1" s="9">
      <c r="B52" s="158" t="n"/>
      <c r="C52" s="157" t="n"/>
      <c r="H52" s="158" t="n"/>
      <c r="M52" s="230" t="n"/>
      <c r="N52" s="230" t="n"/>
      <c r="O52" s="230" t="n"/>
      <c r="P52" s="230" t="n"/>
    </row>
    <row r="53" customFormat="1" s="9">
      <c r="B53" s="342" t="n"/>
      <c r="C53" s="157" t="n"/>
      <c r="D53" s="295" t="n"/>
      <c r="H53" s="342" t="n"/>
      <c r="M53" s="230" t="n"/>
      <c r="N53" s="230" t="n"/>
      <c r="O53" s="230" t="n"/>
      <c r="P53" s="230" t="n"/>
      <c r="R53" s="295" t="n"/>
    </row>
    <row r="54">
      <c r="J54" s="9" t="n"/>
      <c r="L54" s="290" t="n"/>
    </row>
    <row r="55">
      <c r="J55" s="9" t="n"/>
    </row>
    <row r="67">
      <c r="V67" s="230" t="inlineStr">
        <is>
          <t xml:space="preserve"> </t>
        </is>
      </c>
    </row>
  </sheetData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8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X57"/>
  <sheetViews>
    <sheetView zoomScale="85" zoomScaleNormal="85" workbookViewId="0">
      <pane xSplit="1" ySplit="3" topLeftCell="B4" activePane="bottomRight" state="frozen"/>
      <selection activeCell="I16" sqref="I16"/>
      <selection pane="topRight" activeCell="I16" sqref="I16"/>
      <selection pane="bottomLeft" activeCell="I16" sqref="I16"/>
      <selection pane="bottomRight" activeCell="I10" sqref="I10"/>
    </sheetView>
  </sheetViews>
  <sheetFormatPr baseColWidth="8" defaultColWidth="8.8984375" defaultRowHeight="15.6"/>
  <cols>
    <col width="16.3984375" customWidth="1" style="110" min="1" max="1"/>
    <col width="10.69921875" customWidth="1" style="230" min="2" max="2"/>
    <col width="13.3984375" bestFit="1" customWidth="1" style="230" min="3" max="3"/>
    <col width="11.69921875" bestFit="1" customWidth="1" style="230" min="4" max="4"/>
    <col width="13.3984375" bestFit="1" customWidth="1" style="230" min="5" max="5"/>
    <col width="13.3984375" customWidth="1" style="230" min="6" max="6"/>
    <col width="13.3984375" bestFit="1" customWidth="1" style="230" min="7" max="7"/>
    <col width="10.69921875" customWidth="1" style="230" min="8" max="8"/>
    <col width="13.69921875" customWidth="1" style="230" min="9" max="9"/>
    <col width="11.3984375" customWidth="1" style="230" min="10" max="10"/>
    <col width="14.09765625" customWidth="1" style="230" min="11" max="11"/>
    <col width="13.69921875" customWidth="1" style="230" min="12" max="18"/>
    <col width="10.19921875" bestFit="1" customWidth="1" style="230" min="19" max="19"/>
    <col width="8.8984375" customWidth="1" style="230" min="20" max="16384"/>
  </cols>
  <sheetData>
    <row r="1" ht="28.5" customHeight="1" s="243">
      <c r="A1" s="207" t="n"/>
      <c r="B1" s="230" t="inlineStr">
        <is>
          <t>태극당청량리역점</t>
        </is>
      </c>
      <c r="C1" s="230" t="inlineStr">
        <is>
          <t>태극당</t>
        </is>
      </c>
      <c r="D1" s="230" t="inlineStr">
        <is>
          <t>480-85-02730</t>
        </is>
      </c>
      <c r="E1" s="231" t="inlineStr">
        <is>
          <t>002730</t>
        </is>
      </c>
      <c r="F1" s="207" t="n"/>
      <c r="G1" s="207" t="n"/>
      <c r="H1" s="207" t="n"/>
      <c r="I1" s="207" t="n"/>
      <c r="J1" s="81" t="n"/>
      <c r="K1" s="80" t="n"/>
      <c r="L1" s="79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U8" s="230" t="n"/>
      <c r="V8" s="230" t="n"/>
      <c r="W8" s="230" t="n"/>
      <c r="X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  <c r="W9" s="230" t="n"/>
      <c r="X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  <c r="W10" s="230" t="n"/>
      <c r="X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  <c r="W11" s="230" t="n"/>
      <c r="X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U12" s="230" t="n"/>
      <c r="V12" s="230" t="n"/>
      <c r="W12" s="230" t="n"/>
      <c r="X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62" t="n"/>
      <c r="V13" s="230" t="n"/>
      <c r="W13" s="230" t="n"/>
      <c r="X13" s="230" t="n"/>
    </row>
    <row r="14" ht="19.2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30" t="n"/>
      <c r="W14" s="230" t="n"/>
      <c r="X14" s="230" t="n"/>
    </row>
    <row r="15" ht="19.95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  <c r="X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</row>
    <row r="17" ht="19.95" customFormat="1" customHeight="1" s="72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  <c r="V17" s="230" t="n"/>
    </row>
    <row r="18" ht="19.95" customHeight="1" s="243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Format="1" customHeight="1" s="72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  <c r="U27" s="230" t="n"/>
      <c r="V27" s="230" t="n"/>
      <c r="W27" s="230" t="n"/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Format="1" customHeight="1" s="72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  <c r="U31" s="230" t="n"/>
      <c r="V31" s="230" t="n"/>
      <c r="W31" s="230" t="n"/>
    </row>
    <row r="32" ht="19.95" customFormat="1" customHeight="1" s="72">
      <c r="A32" s="70" t="n">
        <v>46110</v>
      </c>
      <c r="B32" s="254" t="n">
        <v>174600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308520</v>
      </c>
      <c r="N32" s="261" t="n">
        <v>8700</v>
      </c>
      <c r="O32" s="261" t="n">
        <v>893920</v>
      </c>
      <c r="P32" s="261" t="n">
        <v>298140</v>
      </c>
      <c r="Q32" s="261" t="n">
        <v>790680</v>
      </c>
      <c r="R32" s="261" t="n">
        <v>495040</v>
      </c>
      <c r="S32" s="261" t="n">
        <v>679700</v>
      </c>
      <c r="T32" s="261" t="n">
        <v>297740</v>
      </c>
      <c r="U32" s="230" t="n">
        <v>462760</v>
      </c>
      <c r="V32" s="230" t="n"/>
      <c r="W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96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 ht="19.95" customHeight="1" s="243">
      <c r="A37" s="228" t="n"/>
      <c r="B37" s="296" t="n"/>
      <c r="C37" s="261" t="n"/>
      <c r="D37" s="261" t="n"/>
      <c r="E37" s="261" t="n"/>
      <c r="F37" s="261" t="n"/>
      <c r="G37" s="261" t="n"/>
      <c r="H37" s="296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</row>
    <row r="38">
      <c r="A38" s="68" t="inlineStr">
        <is>
          <t>해외카드 결제분 있을 시, BC카드 가맹점 홈페이지 확인</t>
        </is>
      </c>
      <c r="B38" s="67" t="n"/>
      <c r="E38" s="262" t="n"/>
      <c r="F38" s="262" t="n"/>
      <c r="G38" s="262" t="n"/>
      <c r="H38" s="67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</row>
    <row r="39" ht="16.2" customHeight="1" s="243" thickBot="1">
      <c r="A39" s="66" t="n"/>
      <c r="B39" s="230" t="inlineStr">
        <is>
          <t>(VAT포함)</t>
        </is>
      </c>
      <c r="E39" s="230" t="inlineStr">
        <is>
          <t>(VAT 별도)</t>
        </is>
      </c>
    </row>
    <row r="40">
      <c r="A40" s="265" t="inlineStr">
        <is>
          <t>태극당</t>
        </is>
      </c>
      <c r="B40" s="177" t="inlineStr">
        <is>
          <t>1억5천미만</t>
        </is>
      </c>
      <c r="C40" s="302" t="n">
        <v>0.14</v>
      </c>
      <c r="D40" s="267" t="inlineStr">
        <is>
          <t>최소보장
임대료</t>
        </is>
      </c>
      <c r="E40" s="313" t="n">
        <v>9500000</v>
      </c>
      <c r="F40" s="314" t="n"/>
      <c r="G40" s="313" t="n"/>
      <c r="H40" s="177" t="n"/>
      <c r="J40" s="230" t="inlineStr">
        <is>
          <t>매출 관련 문의 12.19일자 기준</t>
        </is>
      </c>
      <c r="K40" s="270" t="n"/>
      <c r="L40" s="48" t="n"/>
      <c r="M40" s="260" t="n"/>
    </row>
    <row r="41">
      <c r="A41" s="315" t="n"/>
      <c r="B41" s="175" t="inlineStr">
        <is>
          <t>1억5천이상</t>
        </is>
      </c>
      <c r="C41" s="343" t="n">
        <v>0.15</v>
      </c>
      <c r="D41" s="317" t="n"/>
      <c r="E41" s="319" t="n"/>
      <c r="F41" s="320" t="n"/>
      <c r="G41" s="319" t="n"/>
      <c r="H41" s="175" t="n"/>
      <c r="J41" s="230" t="inlineStr">
        <is>
          <t>010-9179-7491</t>
        </is>
      </c>
      <c r="K41" s="270" t="n"/>
      <c r="L41" s="48" t="n"/>
      <c r="M41" s="260" t="n"/>
    </row>
    <row r="42" ht="16.2" customHeight="1" s="243" thickBot="1">
      <c r="A42" s="271" t="n"/>
      <c r="B42" s="100" t="inlineStr">
        <is>
          <t>2억 이상</t>
        </is>
      </c>
      <c r="C42" s="321" t="n">
        <v>0.155</v>
      </c>
      <c r="D42" s="273" t="n"/>
      <c r="E42" s="323" t="n"/>
      <c r="F42" s="324" t="n"/>
      <c r="G42" s="323" t="n"/>
      <c r="H42" s="100" t="n"/>
      <c r="J42" s="230" t="inlineStr">
        <is>
          <t>청량리역점</t>
        </is>
      </c>
      <c r="K42" s="270" t="n"/>
      <c r="L42" s="48" t="n"/>
      <c r="M42" s="260" t="n"/>
    </row>
    <row r="43">
      <c r="A43" s="53" t="n"/>
      <c r="C43" s="113" t="n"/>
      <c r="D43" s="326" t="n"/>
      <c r="E43" s="277" t="n"/>
      <c r="F43" s="277" t="n"/>
      <c r="G43" s="277" t="n"/>
      <c r="J43" s="260" t="n"/>
      <c r="K43" s="270" t="n"/>
      <c r="L43" s="48" t="n"/>
      <c r="M43" s="260" t="n"/>
    </row>
    <row r="44">
      <c r="A44" s="94" t="inlineStr">
        <is>
          <t>수수료율</t>
        </is>
      </c>
      <c r="B44" s="95" t="n">
        <v>0.14</v>
      </c>
      <c r="C44" s="94" t="inlineStr">
        <is>
          <t>최저</t>
        </is>
      </c>
      <c r="D44" s="174" t="n"/>
      <c r="E44" s="230" t="inlineStr">
        <is>
          <t>매출원가</t>
        </is>
      </c>
      <c r="F44" s="260">
        <f>E35-B45</f>
        <v/>
      </c>
      <c r="G44" s="230" t="n"/>
      <c r="H44" s="95" t="n"/>
      <c r="I44" s="260" t="n"/>
      <c r="J44" s="284" t="n"/>
      <c r="K44" s="270" t="n"/>
      <c r="L44" s="48" t="n"/>
      <c r="M44" s="260" t="n"/>
    </row>
    <row r="45">
      <c r="A45" s="94" t="inlineStr">
        <is>
          <t>임대료</t>
        </is>
      </c>
      <c r="B45" s="307">
        <f>ROUND(B47/1.1,0)</f>
        <v/>
      </c>
      <c r="C45" s="308" t="n">
        <v>9500000</v>
      </c>
      <c r="D45" s="344" t="n"/>
      <c r="E45" s="230" t="inlineStr">
        <is>
          <t>미지급금</t>
        </is>
      </c>
      <c r="F45" s="260">
        <f>C35-B47</f>
        <v/>
      </c>
      <c r="G45" s="230" t="n"/>
      <c r="H45" s="307" t="n"/>
      <c r="I45" s="284" t="n"/>
      <c r="J45" s="260" t="n"/>
      <c r="K45" s="270" t="n"/>
      <c r="L45" s="48" t="n"/>
      <c r="M45" s="260" t="n"/>
    </row>
    <row r="46">
      <c r="A46" s="94" t="inlineStr">
        <is>
          <t>VAT</t>
        </is>
      </c>
      <c r="B46" s="307">
        <f>+B47-B45</f>
        <v/>
      </c>
      <c r="C46" s="309" t="n">
        <v>950000</v>
      </c>
      <c r="D46" s="344" t="n"/>
      <c r="E46" s="230" t="inlineStr">
        <is>
          <t>미수금</t>
        </is>
      </c>
      <c r="F46" s="260">
        <f>B35</f>
        <v/>
      </c>
      <c r="G46" s="230" t="n"/>
      <c r="H46" s="307" t="n"/>
      <c r="I46" s="260" t="n"/>
      <c r="J46" s="270" t="n"/>
      <c r="K46" s="270" t="n"/>
      <c r="L46" s="270" t="n"/>
      <c r="M46" s="260" t="n"/>
    </row>
    <row r="47">
      <c r="A47" s="94" t="inlineStr">
        <is>
          <t>합계</t>
        </is>
      </c>
      <c r="B47" s="310">
        <f>+E35*B44</f>
        <v/>
      </c>
      <c r="C47" s="309">
        <f>C45+C46</f>
        <v/>
      </c>
      <c r="D47" s="344" t="n"/>
      <c r="E47" s="172" t="n"/>
      <c r="F47" s="172" t="n"/>
      <c r="G47" s="172" t="n"/>
      <c r="H47" s="310" t="n"/>
      <c r="I47" s="345" t="n"/>
      <c r="J47" s="270" t="n"/>
      <c r="K47" s="270" t="n"/>
      <c r="L47" s="270" t="n"/>
      <c r="M47" s="270" t="n"/>
    </row>
    <row r="48" customFormat="1" s="9">
      <c r="A48" s="27" t="n"/>
      <c r="B48" s="26" t="n"/>
      <c r="H48" s="26" t="n"/>
      <c r="I48" s="345" t="n"/>
      <c r="J48" s="85" t="n"/>
      <c r="K48" s="270" t="n"/>
      <c r="P48" s="230" t="n"/>
      <c r="Q48" s="230" t="n"/>
    </row>
    <row r="49" ht="16.2" customFormat="1" customHeight="1" s="9" thickBot="1">
      <c r="A49" s="20" t="inlineStr">
        <is>
          <t xml:space="preserve"> * 당사 카드 단말기 사용 (국민 004-04-0415-258 계좌)</t>
        </is>
      </c>
      <c r="B49" s="262" t="n"/>
      <c r="H49" s="262" t="n"/>
      <c r="I49" s="85" t="n"/>
      <c r="J49" s="85" t="n"/>
      <c r="K49" s="290" t="n"/>
      <c r="P49" s="230" t="n"/>
      <c r="Q49" s="230" t="n"/>
    </row>
    <row r="50" customFormat="1" s="9">
      <c r="A50" s="20" t="inlineStr">
        <is>
          <t xml:space="preserve"> * 기간 26년10월27일까지</t>
        </is>
      </c>
      <c r="B50" s="19" t="n"/>
      <c r="C50" s="18" t="n"/>
      <c r="D50" s="14" t="n"/>
      <c r="E50" s="14" t="n"/>
      <c r="F50" s="42" t="inlineStr">
        <is>
          <t>임대을매출</t>
        </is>
      </c>
      <c r="G50" s="278">
        <f>E35</f>
        <v/>
      </c>
      <c r="H50" s="40" t="inlineStr">
        <is>
          <t>임대을매출원가</t>
        </is>
      </c>
      <c r="I50" s="279">
        <f>G52</f>
        <v/>
      </c>
      <c r="J50" s="85" t="n"/>
      <c r="K50" s="290" t="n"/>
      <c r="P50" s="230" t="n"/>
      <c r="Q50" s="230" t="n"/>
    </row>
    <row r="51" customFormat="1" s="9">
      <c r="A51" s="14" t="n"/>
      <c r="B51" s="17" t="n"/>
      <c r="C51" s="16" t="n"/>
      <c r="D51" s="14" t="n"/>
      <c r="E51" s="14" t="n"/>
      <c r="F51" s="13" t="n"/>
      <c r="G51" s="270" t="n"/>
      <c r="H51" s="48" t="n"/>
      <c r="I51" s="283" t="n"/>
      <c r="J51" s="9" t="n"/>
      <c r="K51" s="290" t="n"/>
      <c r="P51" s="230" t="n"/>
      <c r="Q51" s="230" t="n"/>
    </row>
    <row r="52" customFormat="1" s="9">
      <c r="A52" s="9" t="inlineStr">
        <is>
          <t>* 상품대지급일 (익월 25일까지) - 카드매출금에서 수수료 제외 후 입금</t>
        </is>
      </c>
      <c r="F52" s="13" t="inlineStr">
        <is>
          <t>임대을매출원가</t>
        </is>
      </c>
      <c r="G52" s="270">
        <f>F44</f>
        <v/>
      </c>
      <c r="H52" s="48" t="inlineStr">
        <is>
          <t>임대을매출_할인</t>
        </is>
      </c>
      <c r="I52" s="283">
        <f>D35</f>
        <v/>
      </c>
      <c r="K52" s="9" t="n"/>
      <c r="P52" s="230" t="n"/>
      <c r="Q52" s="230" t="n"/>
    </row>
    <row r="53" customFormat="1" s="9">
      <c r="F53" s="13" t="n"/>
      <c r="G53" s="270" t="n"/>
      <c r="H53" s="48" t="inlineStr">
        <is>
          <t>임대을매출_수수료</t>
        </is>
      </c>
      <c r="I53" s="283">
        <f>B45</f>
        <v/>
      </c>
      <c r="P53" s="230" t="n"/>
      <c r="Q53" s="230" t="n"/>
    </row>
    <row r="54" customFormat="1" s="9">
      <c r="D54" s="295" t="n"/>
      <c r="F54" s="13" t="n"/>
      <c r="G54" s="270" t="n"/>
      <c r="H54" s="48" t="inlineStr">
        <is>
          <t>예수부가세</t>
        </is>
      </c>
      <c r="I54" s="283">
        <f>B46</f>
        <v/>
      </c>
      <c r="P54" s="230" t="n"/>
      <c r="Q54" s="230" t="n"/>
    </row>
    <row r="55">
      <c r="F55" s="13" t="n"/>
      <c r="G55" s="270" t="n"/>
      <c r="H55" s="48" t="inlineStr">
        <is>
          <t>미지급금</t>
        </is>
      </c>
      <c r="I55" s="289">
        <f>F45</f>
        <v/>
      </c>
      <c r="J55" s="9" t="n"/>
    </row>
    <row r="56">
      <c r="F56" s="13" t="n"/>
      <c r="G56" s="270" t="n"/>
      <c r="H56" s="291" t="inlineStr">
        <is>
          <t>미수금</t>
        </is>
      </c>
      <c r="I56" s="283">
        <f>F46</f>
        <v/>
      </c>
    </row>
    <row r="57" ht="16.2" customHeight="1" s="243" thickBot="1">
      <c r="F57" s="292" t="n"/>
      <c r="G57" s="293">
        <f>SUM(G50:G56)</f>
        <v/>
      </c>
      <c r="H57" s="293" t="n"/>
      <c r="I57" s="294">
        <f>SUM(I50:I56)</f>
        <v/>
      </c>
    </row>
  </sheetData>
  <mergeCells count="4">
    <mergeCell ref="E40:E42"/>
    <mergeCell ref="D40:D42"/>
    <mergeCell ref="A40:A42"/>
    <mergeCell ref="G40:G42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A1:AB54"/>
  <sheetViews>
    <sheetView zoomScaleNormal="100" workbookViewId="0">
      <pane xSplit="1" ySplit="3" topLeftCell="B25" activePane="bottomRight" state="frozen"/>
      <selection activeCell="F55" sqref="F55"/>
      <selection pane="topRight" activeCell="F55" sqref="F55"/>
      <selection pane="bottomLeft" activeCell="F55" sqref="F55"/>
      <selection pane="bottomRight" activeCell="H53" sqref="H53"/>
    </sheetView>
  </sheetViews>
  <sheetFormatPr baseColWidth="8" defaultColWidth="8.8984375" defaultRowHeight="15.6"/>
  <cols>
    <col width="10.69921875" customWidth="1" style="110" min="1" max="1"/>
    <col width="11.8984375" bestFit="1" customWidth="1" style="230" min="2" max="3"/>
    <col width="10.69921875" customWidth="1" style="230" min="4" max="4"/>
    <col width="11.8984375" bestFit="1" customWidth="1" style="230" min="5" max="6"/>
    <col width="14.8984375" customWidth="1" style="230" min="7" max="7"/>
    <col width="15.296875" customWidth="1" style="230" min="8" max="8"/>
    <col width="11.8984375" bestFit="1" customWidth="1" style="230" min="9" max="9"/>
    <col width="12.296875" customWidth="1" style="179" min="10" max="10"/>
    <col width="11.3984375" customWidth="1" style="230" min="11" max="11"/>
    <col width="10.8984375" bestFit="1" customWidth="1" style="230" min="12" max="12"/>
    <col width="14.19921875" customWidth="1" style="262" min="13" max="13"/>
    <col width="11.8984375" bestFit="1" customWidth="1" style="178" min="14" max="14"/>
    <col width="16.3984375" customWidth="1" style="230" min="15" max="15"/>
    <col width="11.8984375" bestFit="1" customWidth="1" style="230" min="16" max="16"/>
    <col width="14.19921875" bestFit="1" customWidth="1" style="230" min="17" max="17"/>
    <col width="11.8984375" bestFit="1" customWidth="1" style="230" min="18" max="18"/>
    <col width="10.69921875" customWidth="1" style="230" min="19" max="19"/>
    <col width="13.69921875" customWidth="1" style="230" min="20" max="28"/>
    <col width="8.8984375" customWidth="1" style="230" min="29" max="16384"/>
  </cols>
  <sheetData>
    <row r="1" ht="28.5" customHeight="1" s="243">
      <c r="A1" s="242" t="n"/>
      <c r="B1" s="230" t="inlineStr">
        <is>
          <t>홍대개미 청량리역사점</t>
        </is>
      </c>
      <c r="C1" s="230" t="inlineStr">
        <is>
          <t>홍대개미</t>
        </is>
      </c>
      <c r="D1" s="230" t="inlineStr">
        <is>
          <t>876-85-01534</t>
        </is>
      </c>
      <c r="E1" s="231" t="inlineStr">
        <is>
          <t>001534</t>
        </is>
      </c>
      <c r="F1" s="242" t="n"/>
      <c r="G1" s="242" t="n"/>
      <c r="H1" s="242" t="n"/>
      <c r="I1" s="242" t="n"/>
      <c r="J1" s="242" t="n"/>
      <c r="O1" s="242" t="n"/>
      <c r="P1" s="207" t="n"/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  <c r="AA1" s="207" t="n"/>
      <c r="AB1" s="207" t="n"/>
    </row>
    <row r="2" ht="20.1" customHeight="1" s="243" thickBot="1">
      <c r="J2" s="230" t="n"/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</row>
    <row r="11" ht="18.6" customFormat="1" customHeight="1" s="72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</row>
    <row r="12" ht="19.95" customFormat="1" customHeight="1" s="72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</row>
    <row r="15" ht="19.95" customFormat="1" customHeight="1" s="72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</row>
    <row r="16" ht="19.95" customFormat="1" customHeight="1" s="72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  <c r="V16" s="206" t="n"/>
      <c r="W16" s="230" t="n"/>
    </row>
    <row r="17" ht="19.95" customFormat="1" customHeight="1" s="72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06" t="n"/>
      <c r="V17" s="206" t="n"/>
      <c r="W17" s="206" t="n"/>
    </row>
    <row r="18" ht="19.95" customHeight="1" s="243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05" t="n"/>
      <c r="V18" s="205" t="n"/>
      <c r="W18" s="205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04" t="n"/>
      <c r="V19" s="204" t="n"/>
      <c r="W19" s="204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04" t="n"/>
      <c r="V20" s="205" t="n"/>
      <c r="W20" s="205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04" t="n"/>
      <c r="V21" s="204" t="n"/>
      <c r="W21" s="204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  <c r="U22" s="204" t="n"/>
      <c r="V22" s="205" t="n"/>
      <c r="W22" s="205" t="n"/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  <c r="U23" s="204" t="n"/>
      <c r="V23" s="204" t="n"/>
      <c r="W23" s="204" t="n"/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  <c r="V24" s="204" t="n"/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</row>
    <row r="28" ht="19.95" customHeight="1" s="243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Height="1" s="243">
      <c r="A32" s="70" t="n">
        <v>46110</v>
      </c>
      <c r="B32" s="254" t="n">
        <v>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335900</v>
      </c>
      <c r="N32" s="261" t="n">
        <v>0</v>
      </c>
      <c r="O32" s="261" t="n">
        <v>809800</v>
      </c>
      <c r="P32" s="261" t="n">
        <v>209200</v>
      </c>
      <c r="Q32" s="261" t="n">
        <v>1013100</v>
      </c>
      <c r="R32" s="261" t="n">
        <v>402200</v>
      </c>
      <c r="S32" s="261" t="n">
        <v>312300</v>
      </c>
      <c r="T32" s="261" t="n">
        <v>293600</v>
      </c>
      <c r="U32" t="n">
        <v>236300</v>
      </c>
    </row>
    <row r="33" ht="19.95" customHeight="1" s="243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</row>
    <row r="34" ht="19.95" customHeight="1" s="243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6.2" customHeight="1" s="243" thickBot="1">
      <c r="A36" s="203" t="n"/>
      <c r="B36" s="67" t="n"/>
      <c r="H36" s="230" t="n"/>
      <c r="I36" s="230" t="n"/>
      <c r="J36" s="110" t="n"/>
      <c r="K36" s="262" t="n"/>
      <c r="T36" s="262" t="n"/>
      <c r="U36" s="262" t="n"/>
      <c r="V36" s="262" t="n"/>
      <c r="W36" s="262" t="n"/>
      <c r="X36" s="262" t="n"/>
      <c r="Y36" s="262" t="n"/>
      <c r="Z36" s="262" t="n"/>
      <c r="AA36" s="262" t="n"/>
      <c r="AB36" s="262" t="n"/>
    </row>
    <row r="37" ht="19.2" customHeight="1" s="243">
      <c r="A37" s="201" t="inlineStr">
        <is>
          <t>25.09.18~27.08.31</t>
        </is>
      </c>
      <c r="B37" s="200" t="n"/>
      <c r="C37" s="199" t="n">
        <v>0.165</v>
      </c>
      <c r="G37" s="260" t="n"/>
      <c r="H37" s="230" t="n"/>
      <c r="I37" s="198" t="n"/>
      <c r="J37" s="193" t="n"/>
      <c r="K37" s="198" t="n"/>
      <c r="T37" s="262" t="n"/>
      <c r="U37" s="262" t="n"/>
      <c r="V37" s="262" t="n"/>
      <c r="W37" s="262" t="n"/>
      <c r="X37" s="262" t="n"/>
      <c r="Y37" s="262" t="n"/>
      <c r="Z37" s="262" t="n"/>
      <c r="AA37" s="262" t="n"/>
      <c r="AB37" s="262" t="n"/>
    </row>
    <row r="38" ht="19.8" customHeight="1" s="243" thickBot="1">
      <c r="A38" s="197" t="inlineStr">
        <is>
          <t>27.09.01~28.08.31</t>
        </is>
      </c>
      <c r="B38" s="161" t="n"/>
      <c r="C38" s="196" t="n">
        <v>0.175</v>
      </c>
      <c r="H38" s="230" t="n"/>
      <c r="I38" s="198" t="n"/>
      <c r="J38" s="193" t="n"/>
      <c r="K38" s="198" t="n"/>
    </row>
    <row r="39" ht="19.8" customHeight="1" s="243" thickBot="1">
      <c r="A39" s="195" t="n"/>
      <c r="B39" s="230" t="n"/>
      <c r="C39" s="230" t="inlineStr">
        <is>
          <t>단, 영업 개시 1년 후 1년 월평균 임대료의 70%로 재설정</t>
        </is>
      </c>
      <c r="H39" s="230" t="n"/>
      <c r="I39" s="198" t="n"/>
      <c r="J39" s="193" t="n"/>
      <c r="K39" s="198" t="n"/>
    </row>
    <row r="40">
      <c r="A40" s="94" t="inlineStr">
        <is>
          <t>수수료율</t>
        </is>
      </c>
      <c r="B40" s="191" t="n">
        <v>0.165</v>
      </c>
      <c r="C40" s="94" t="inlineStr">
        <is>
          <t>최소</t>
        </is>
      </c>
      <c r="E40" s="42" t="inlineStr">
        <is>
          <t>임대을매출</t>
        </is>
      </c>
      <c r="F40" s="278">
        <f>+E35</f>
        <v/>
      </c>
      <c r="G40" s="40" t="inlineStr">
        <is>
          <t>임대을매출원가</t>
        </is>
      </c>
      <c r="H40" s="279">
        <f>+B45</f>
        <v/>
      </c>
      <c r="J40" s="110" t="n"/>
    </row>
    <row r="41">
      <c r="A41" s="94" t="inlineStr">
        <is>
          <t>임대료</t>
        </is>
      </c>
      <c r="B41" s="338">
        <f>ROUND(B43/1.1,0)</f>
        <v/>
      </c>
      <c r="C41" s="308" t="n">
        <v>9000000</v>
      </c>
      <c r="E41" s="13" t="inlineStr">
        <is>
          <t>임대을매출원가</t>
        </is>
      </c>
      <c r="F41" s="270">
        <f>+H40</f>
        <v/>
      </c>
      <c r="G41" s="48" t="inlineStr">
        <is>
          <t>임대을매출_할인</t>
        </is>
      </c>
      <c r="H41" s="283">
        <f>B46</f>
        <v/>
      </c>
      <c r="J41" s="270" t="n"/>
    </row>
    <row r="42">
      <c r="A42" s="94" t="inlineStr">
        <is>
          <t>VAT</t>
        </is>
      </c>
      <c r="B42" s="338">
        <f>+B43-B41</f>
        <v/>
      </c>
      <c r="C42" s="309">
        <f>C41/10</f>
        <v/>
      </c>
      <c r="E42" s="13" t="n"/>
      <c r="F42" s="270" t="n"/>
      <c r="G42" s="48" t="inlineStr">
        <is>
          <t>임대을매출_수수료</t>
        </is>
      </c>
      <c r="H42" s="283">
        <f>B41</f>
        <v/>
      </c>
      <c r="J42" s="262" t="n"/>
      <c r="K42" s="260" t="n"/>
    </row>
    <row r="43">
      <c r="A43" s="94" t="inlineStr">
        <is>
          <t>합계</t>
        </is>
      </c>
      <c r="B43" s="339">
        <f>+E35*B40</f>
        <v/>
      </c>
      <c r="C43" s="309">
        <f>C42+C41</f>
        <v/>
      </c>
      <c r="E43" s="13" t="n"/>
      <c r="F43" s="270" t="n"/>
      <c r="G43" s="48" t="inlineStr">
        <is>
          <t>예수부가세</t>
        </is>
      </c>
      <c r="H43" s="283">
        <f>B42</f>
        <v/>
      </c>
      <c r="J43" s="262" t="n"/>
    </row>
    <row r="44" ht="17.4" customHeight="1" s="243">
      <c r="A44" s="146" t="n"/>
      <c r="C44" s="260" t="n"/>
      <c r="E44" s="13" t="n"/>
      <c r="F44" s="270" t="n"/>
      <c r="G44" s="48" t="inlineStr">
        <is>
          <t>미지급금</t>
        </is>
      </c>
      <c r="H44" s="289">
        <f>+B47</f>
        <v/>
      </c>
      <c r="I44" s="284" t="n"/>
      <c r="J44" s="260" t="n"/>
      <c r="K44" s="260" t="n"/>
    </row>
    <row r="45">
      <c r="A45" s="110" t="inlineStr">
        <is>
          <t>매출원가</t>
        </is>
      </c>
      <c r="B45" s="260">
        <f>E35-B41</f>
        <v/>
      </c>
      <c r="E45" s="13" t="n"/>
      <c r="F45" s="270" t="n"/>
      <c r="G45" s="140" t="inlineStr">
        <is>
          <t>미수금</t>
        </is>
      </c>
      <c r="H45" s="283">
        <f>+B35</f>
        <v/>
      </c>
      <c r="J45" s="230" t="n"/>
      <c r="K45" s="270" t="n"/>
    </row>
    <row r="46" ht="16.2" customHeight="1" s="243" thickBot="1">
      <c r="A46" s="110" t="inlineStr">
        <is>
          <t>할인</t>
        </is>
      </c>
      <c r="B46" s="260">
        <f>D35</f>
        <v/>
      </c>
      <c r="E46" s="292" t="n"/>
      <c r="F46" s="293">
        <f>SUM(F40:F45)</f>
        <v/>
      </c>
      <c r="G46" s="293" t="n"/>
      <c r="H46" s="294">
        <f>SUM(H40:H45)</f>
        <v/>
      </c>
      <c r="J46" s="230" t="n"/>
      <c r="K46" s="270" t="n"/>
      <c r="Q46" s="260" t="n"/>
    </row>
    <row r="47" customFormat="1" s="182">
      <c r="A47" s="110" t="inlineStr">
        <is>
          <t>미지급금</t>
        </is>
      </c>
      <c r="B47" s="260">
        <f>C35-B43</f>
        <v/>
      </c>
      <c r="C47" s="260" t="n"/>
      <c r="D47" s="230" t="n"/>
      <c r="E47" s="230" t="n"/>
      <c r="F47" s="262" t="n"/>
      <c r="H47" s="185" t="n"/>
      <c r="I47" s="260" t="n"/>
      <c r="J47" s="230" t="n"/>
      <c r="K47" s="85" t="n"/>
      <c r="L47" s="230" t="n"/>
      <c r="N47" s="190" t="n"/>
      <c r="O47" s="189" t="n"/>
      <c r="P47" s="182" t="n"/>
      <c r="Q47" s="345" t="n"/>
      <c r="R47" s="270" t="n"/>
      <c r="S47" s="270" t="n"/>
      <c r="T47" s="270" t="n"/>
    </row>
    <row r="48" customFormat="1" s="182">
      <c r="A48" s="27" t="n"/>
      <c r="B48" s="26" t="n"/>
      <c r="F48" s="262" t="n"/>
      <c r="H48" s="185" t="n"/>
      <c r="I48" s="26" t="n"/>
      <c r="K48" s="85" t="n"/>
      <c r="N48" s="186" t="n"/>
      <c r="O48" s="290" t="n"/>
      <c r="P48" s="182" t="n"/>
    </row>
    <row r="49" customFormat="1" s="182">
      <c r="A49" s="188" t="inlineStr">
        <is>
          <t>* 당사 카드 단말기 사용 (국민 004-01-0415258 계좌)</t>
        </is>
      </c>
      <c r="B49" s="262" t="n"/>
      <c r="F49" s="262" t="n"/>
      <c r="H49" s="185" t="n"/>
      <c r="I49" s="262" t="n"/>
      <c r="K49" s="85" t="n"/>
      <c r="M49" s="190" t="n"/>
      <c r="N49" s="186" t="n"/>
      <c r="O49" s="290" t="n"/>
      <c r="P49" s="182" t="n"/>
    </row>
    <row r="50" customFormat="1" s="182">
      <c r="A50" s="182" t="inlineStr">
        <is>
          <t>* 상품대지급일 (익월 10일까지) - 카드매출금에서 수수료 제외 후 입금</t>
        </is>
      </c>
      <c r="B50" s="19" t="n"/>
      <c r="C50" s="187" t="n"/>
      <c r="D50" s="187" t="n"/>
      <c r="E50" s="190" t="n"/>
      <c r="F50" s="262" t="n"/>
      <c r="H50" s="185" t="n"/>
      <c r="I50" s="19" t="n"/>
      <c r="J50" s="190" t="n"/>
      <c r="K50" s="9" t="n"/>
      <c r="L50" s="187" t="n"/>
      <c r="M50" s="190" t="n"/>
      <c r="N50" s="186" t="n"/>
      <c r="O50" s="290" t="n"/>
      <c r="P50" s="182" t="n"/>
    </row>
    <row r="51" customFormat="1" s="182">
      <c r="A51" s="190" t="n"/>
      <c r="B51" s="17" t="n"/>
      <c r="C51" s="183" t="n"/>
      <c r="D51" s="183" t="n"/>
      <c r="E51" s="190" t="n"/>
      <c r="F51" s="262" t="n"/>
      <c r="H51" s="185" t="n"/>
      <c r="I51" s="17" t="n"/>
      <c r="J51" s="190" t="n"/>
      <c r="K51" s="9" t="n"/>
      <c r="L51" s="183" t="n"/>
      <c r="N51" s="182" t="n"/>
      <c r="O51" s="182" t="n"/>
      <c r="P51" s="182" t="n"/>
      <c r="Q51" s="230" t="n"/>
      <c r="R51" s="230" t="n"/>
      <c r="S51" s="230" t="n"/>
      <c r="T51" s="230" t="n"/>
    </row>
    <row r="52" customFormat="1" s="182">
      <c r="F52" s="262" t="n"/>
      <c r="H52" s="346" t="n"/>
      <c r="K52" s="9" t="n"/>
      <c r="Q52" s="230" t="n"/>
      <c r="R52" s="230" t="n"/>
      <c r="S52" s="230" t="n"/>
      <c r="T52" s="230" t="n"/>
    </row>
    <row r="53" customFormat="1" s="182">
      <c r="F53" s="262" t="n"/>
      <c r="K53" s="9" t="n"/>
      <c r="Q53" s="230" t="n"/>
      <c r="R53" s="230" t="n"/>
      <c r="S53" s="230" t="n"/>
      <c r="T53" s="230" t="n"/>
    </row>
    <row r="54">
      <c r="A54" s="182" t="n"/>
      <c r="B54" s="182" t="n"/>
      <c r="C54" s="182" t="n"/>
      <c r="D54" s="182" t="n"/>
      <c r="E54" s="346" t="n"/>
      <c r="I54" s="182" t="n"/>
      <c r="K54" s="9" t="n"/>
      <c r="R54" s="346" t="n"/>
      <c r="S54" s="182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X62"/>
  <sheetViews>
    <sheetView zoomScale="85" zoomScaleNormal="85" workbookViewId="0">
      <pane xSplit="1" ySplit="3" topLeftCell="B19" activePane="bottomRight" state="frozen"/>
      <selection activeCell="I16" sqref="I16"/>
      <selection pane="topRight" activeCell="I16" sqref="I16"/>
      <selection pane="bottomLeft" activeCell="I16" sqref="I16"/>
      <selection pane="bottomRight" activeCell="N41" sqref="N41"/>
    </sheetView>
  </sheetViews>
  <sheetFormatPr baseColWidth="8" defaultColWidth="8.8984375" defaultRowHeight="15.6"/>
  <cols>
    <col width="10" customWidth="1" style="110" min="1" max="1"/>
    <col width="12.796875" customWidth="1" style="230" min="2" max="2"/>
    <col width="11.8984375" bestFit="1" customWidth="1" style="230" min="3" max="5"/>
    <col width="11.8984375" customWidth="1" style="230" min="6" max="8"/>
    <col width="14.69921875" customWidth="1" style="230" min="9" max="9"/>
    <col width="11.3984375" customWidth="1" style="230" min="10" max="10"/>
    <col width="14.09765625" customWidth="1" style="230" min="11" max="11"/>
    <col width="13.69921875" customWidth="1" style="230" min="12" max="13"/>
    <col width="21.3984375" customWidth="1" style="230" min="14" max="14"/>
    <col width="13.69921875" customWidth="1" style="230" min="15" max="18"/>
    <col width="10.19921875" bestFit="1" customWidth="1" style="230" min="19" max="19"/>
    <col width="8.8984375" customWidth="1" style="230" min="20" max="16384"/>
  </cols>
  <sheetData>
    <row r="1" ht="28.5" customHeight="1" s="243">
      <c r="A1" s="207" t="n"/>
      <c r="B1" s="230" t="inlineStr">
        <is>
          <t>㈜캘리스코</t>
        </is>
      </c>
      <c r="C1" s="230" t="inlineStr">
        <is>
          <t>사보텐</t>
        </is>
      </c>
      <c r="D1" s="230" t="inlineStr">
        <is>
          <t>548-85-00886</t>
        </is>
      </c>
      <c r="E1" s="231" t="inlineStr">
        <is>
          <t>000886</t>
        </is>
      </c>
      <c r="F1" s="207" t="n"/>
      <c r="G1" s="207" t="n"/>
      <c r="H1" s="207" t="n"/>
      <c r="I1" s="207" t="n"/>
      <c r="J1" s="81" t="n"/>
      <c r="K1" s="80" t="n"/>
      <c r="L1" s="79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U8" s="230" t="n"/>
      <c r="V8" s="230" t="n"/>
      <c r="W8" s="230" t="n"/>
      <c r="X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U9" s="230" t="n"/>
      <c r="V9" s="230" t="n"/>
      <c r="W9" s="230" t="n"/>
      <c r="X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U10" s="230" t="n"/>
      <c r="V10" s="230" t="n"/>
      <c r="W10" s="230" t="n"/>
      <c r="X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U11" s="230" t="n"/>
      <c r="V11" s="230" t="n"/>
      <c r="W11" s="230" t="n"/>
      <c r="X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U12" s="230" t="n"/>
      <c r="V12" s="230" t="n"/>
      <c r="W12" s="230" t="n"/>
      <c r="X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30" t="n"/>
      <c r="V13" s="230" t="n"/>
      <c r="W13" s="230" t="n"/>
      <c r="X13" s="230" t="n"/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30" t="n"/>
      <c r="W14" s="230" t="n"/>
      <c r="X14" s="230" t="n"/>
    </row>
    <row r="15" ht="19.2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30" t="n"/>
      <c r="W15" s="230" t="n"/>
      <c r="X15" s="230" t="n"/>
    </row>
    <row r="16" ht="21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  <c r="V16" s="230" t="n"/>
      <c r="W16" s="230" t="n"/>
      <c r="X16" s="230" t="n"/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</row>
    <row r="18" ht="19.95" customFormat="1" customHeight="1" s="72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  <c r="V18" s="230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62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</row>
    <row r="28" ht="19.95" customFormat="1" customHeight="1" s="72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  <c r="U28" s="230" t="n"/>
      <c r="V28" s="230" t="n"/>
      <c r="W28" s="230" t="n"/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Format="1" customHeight="1" s="72">
      <c r="A32" s="70" t="n">
        <v>46110</v>
      </c>
      <c r="B32" s="254" t="n"/>
      <c r="C32" s="255" t="n"/>
      <c r="D32" s="256" t="n"/>
      <c r="E32" s="257" t="n"/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/>
      <c r="N32" s="261" t="n"/>
      <c r="O32" s="261" t="n"/>
      <c r="P32" s="261" t="n"/>
      <c r="Q32" s="261" t="n"/>
      <c r="R32" s="261" t="n"/>
      <c r="S32" s="261" t="n"/>
      <c r="T32" s="261">
        <f>SUM(K32:S32)</f>
        <v/>
      </c>
      <c r="U32" s="230" t="n"/>
      <c r="V32" s="230" t="n"/>
      <c r="W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64" t="n"/>
      <c r="C36" s="262" t="n"/>
      <c r="D36" s="262" t="n"/>
      <c r="E36" s="262" t="n"/>
      <c r="F36" s="262" t="n"/>
      <c r="G36" s="262" t="n"/>
      <c r="H36" s="262" t="n"/>
      <c r="I36" s="262" t="n"/>
      <c r="J36" s="262" t="n"/>
      <c r="K36" s="262" t="n"/>
      <c r="L36" s="262" t="n"/>
      <c r="M36" s="262" t="n"/>
      <c r="N36" s="262" t="n"/>
      <c r="O36" s="262" t="n"/>
      <c r="P36" s="262" t="n"/>
      <c r="Q36" s="262" t="n"/>
      <c r="R36" s="262" t="n"/>
      <c r="S36" s="262" t="n"/>
    </row>
    <row r="37" ht="19.95" customHeight="1" s="243">
      <c r="A37" s="228" t="n"/>
      <c r="B37" s="264" t="n"/>
      <c r="C37" s="262" t="n"/>
      <c r="D37" s="262" t="n"/>
      <c r="E37" s="262" t="n"/>
      <c r="F37" s="262" t="n"/>
      <c r="G37" s="262" t="n"/>
      <c r="H37" s="262" t="n"/>
      <c r="I37" s="262" t="n"/>
      <c r="J37" s="262" t="n"/>
      <c r="K37" s="262" t="n"/>
      <c r="L37" s="262" t="n"/>
      <c r="M37" s="262" t="n"/>
      <c r="N37" s="262" t="n"/>
      <c r="O37" s="262" t="n"/>
      <c r="P37" s="262" t="n"/>
      <c r="Q37" s="262" t="n"/>
      <c r="R37" s="262" t="n"/>
      <c r="S37" s="262" t="n"/>
    </row>
    <row r="38">
      <c r="A38" s="68" t="inlineStr">
        <is>
          <t>해외카드 결제분 있을 시, BC카드 가맹점 홈페이지 확인</t>
        </is>
      </c>
      <c r="B38" s="67" t="n"/>
      <c r="E38" s="262" t="n"/>
      <c r="F38" s="262" t="n"/>
      <c r="G38" s="262" t="n"/>
      <c r="H38" s="262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</row>
    <row r="39" ht="16.2" customHeight="1" s="243" thickBot="1">
      <c r="A39" s="66" t="n"/>
    </row>
    <row r="40">
      <c r="A40" s="265" t="inlineStr">
        <is>
          <t>사보텐</t>
        </is>
      </c>
      <c r="B40" s="223" t="inlineStr">
        <is>
          <t>2023.11.01~2024.10.31</t>
        </is>
      </c>
      <c r="C40" s="347" t="n"/>
      <c r="D40" s="222" t="n">
        <v>0.1365</v>
      </c>
      <c r="E40" s="348" t="inlineStr">
        <is>
          <t>최소보장
임대료</t>
        </is>
      </c>
      <c r="F40" s="318" t="n"/>
      <c r="G40" s="318" t="n"/>
      <c r="H40" s="318" t="n"/>
      <c r="I40" s="349" t="n"/>
    </row>
    <row r="41">
      <c r="A41" s="315" t="n"/>
      <c r="B41" s="220" t="inlineStr">
        <is>
          <t>2024.11.01~2025.10.31</t>
        </is>
      </c>
      <c r="D41" s="350" t="n">
        <v>0.15</v>
      </c>
      <c r="F41" s="351" t="n"/>
      <c r="G41" s="351" t="n"/>
      <c r="H41" s="351" t="n"/>
      <c r="I41" s="349" t="n"/>
    </row>
    <row r="42">
      <c r="A42" s="315" t="n"/>
      <c r="B42" s="219" t="inlineStr">
        <is>
          <t>2025.11.1~2026.10.31</t>
        </is>
      </c>
      <c r="D42" s="352" t="n">
        <v>0.175</v>
      </c>
      <c r="F42" s="351" t="n"/>
      <c r="G42" s="351" t="n"/>
      <c r="H42" s="351" t="n"/>
      <c r="I42" s="349" t="n"/>
    </row>
    <row r="43" ht="16.2" customHeight="1" s="243" thickBot="1">
      <c r="A43" s="271" t="n"/>
      <c r="B43" s="216" t="inlineStr">
        <is>
          <t>2027.11.1~2028.10.31</t>
        </is>
      </c>
      <c r="C43" s="303" t="n"/>
      <c r="D43" s="353" t="n">
        <v>0.18</v>
      </c>
      <c r="E43" s="303" t="n"/>
      <c r="F43" s="351" t="n"/>
      <c r="G43" s="351" t="n"/>
      <c r="H43" s="351" t="n"/>
      <c r="I43" s="349" t="n"/>
      <c r="J43" s="260" t="n"/>
    </row>
    <row r="44" ht="16.2" customHeight="1" s="243" thickBot="1">
      <c r="A44" s="212" t="n"/>
      <c r="B44" s="211" t="inlineStr">
        <is>
          <t>금액 비교 후 더 적으면 그냥 1달 최저로 부과하기</t>
        </is>
      </c>
      <c r="C44" s="220" t="n"/>
      <c r="D44" s="350" t="n"/>
      <c r="E44" s="351" t="n"/>
      <c r="F44" s="351" t="n"/>
      <c r="G44" s="351" t="n"/>
      <c r="H44" s="351" t="n"/>
      <c r="I44" s="277" t="n"/>
      <c r="J44" s="260" t="n"/>
    </row>
    <row r="45">
      <c r="A45" s="94" t="inlineStr">
        <is>
          <t>수수료율</t>
        </is>
      </c>
      <c r="B45" s="95" t="n">
        <v>0.175</v>
      </c>
      <c r="C45" s="94" t="inlineStr">
        <is>
          <t>최저</t>
        </is>
      </c>
      <c r="D45" s="270" t="n"/>
      <c r="E45" s="33" t="inlineStr">
        <is>
          <t>매출원가</t>
        </is>
      </c>
      <c r="F45" s="260">
        <f>E35-B46</f>
        <v/>
      </c>
      <c r="G45" s="42" t="inlineStr">
        <is>
          <t>임대을매출</t>
        </is>
      </c>
      <c r="H45" s="278">
        <f>E35</f>
        <v/>
      </c>
      <c r="I45" s="40" t="inlineStr">
        <is>
          <t>임대을매출원가</t>
        </is>
      </c>
      <c r="J45" s="279">
        <f>H47</f>
        <v/>
      </c>
    </row>
    <row r="46">
      <c r="A46" s="94" t="inlineStr">
        <is>
          <t>임대료</t>
        </is>
      </c>
      <c r="B46" s="307">
        <f>ROUND(B48/1.1,0)</f>
        <v/>
      </c>
      <c r="C46" s="308" t="n">
        <v>12500000</v>
      </c>
      <c r="D46" s="85" t="n"/>
      <c r="E46" s="33" t="inlineStr">
        <is>
          <t>미지급금</t>
        </is>
      </c>
      <c r="F46" s="260">
        <f>C35-B48</f>
        <v/>
      </c>
      <c r="G46" s="13" t="n"/>
      <c r="H46" s="270" t="n"/>
      <c r="I46" s="48" t="n"/>
      <c r="J46" s="283" t="n"/>
    </row>
    <row r="47">
      <c r="A47" s="94" t="inlineStr">
        <is>
          <t>VAT</t>
        </is>
      </c>
      <c r="B47" s="307">
        <f>+B48-B46</f>
        <v/>
      </c>
      <c r="C47" s="309">
        <f>C46/10</f>
        <v/>
      </c>
      <c r="D47" s="85" t="n"/>
      <c r="E47" s="33" t="inlineStr">
        <is>
          <t>미수금</t>
        </is>
      </c>
      <c r="F47" s="260">
        <f>B35</f>
        <v/>
      </c>
      <c r="G47" s="13" t="inlineStr">
        <is>
          <t>임대을매출원가</t>
        </is>
      </c>
      <c r="H47" s="270">
        <f>F45</f>
        <v/>
      </c>
      <c r="I47" s="48" t="inlineStr">
        <is>
          <t>임대을매출_할인</t>
        </is>
      </c>
      <c r="J47" s="283">
        <f>D35</f>
        <v/>
      </c>
    </row>
    <row r="48">
      <c r="A48" s="94" t="inlineStr">
        <is>
          <t>합계</t>
        </is>
      </c>
      <c r="B48" s="310">
        <f>+E35*B45</f>
        <v/>
      </c>
      <c r="C48" s="309">
        <f>C47+C46</f>
        <v/>
      </c>
      <c r="D48" s="85" t="n"/>
      <c r="E48" s="33" t="n"/>
      <c r="F48" s="230" t="n"/>
      <c r="G48" s="13" t="n"/>
      <c r="H48" s="270" t="n"/>
      <c r="I48" s="48" t="inlineStr">
        <is>
          <t>임대을매출_수수료</t>
        </is>
      </c>
      <c r="J48" s="283">
        <f>B46</f>
        <v/>
      </c>
    </row>
    <row r="49" customFormat="1" s="9">
      <c r="A49" s="27" t="n"/>
      <c r="B49" s="26" t="n"/>
      <c r="D49" s="9" t="n"/>
      <c r="G49" s="13" t="n"/>
      <c r="H49" s="270" t="n"/>
      <c r="I49" s="48" t="inlineStr">
        <is>
          <t>예수부가세</t>
        </is>
      </c>
      <c r="J49" s="283">
        <f>B47</f>
        <v/>
      </c>
      <c r="O49" s="230" t="n"/>
      <c r="Q49" s="230" t="n"/>
    </row>
    <row r="50" customFormat="1" s="9">
      <c r="A50" s="20" t="inlineStr">
        <is>
          <t xml:space="preserve"> * 당사 카드 단말기 사용 (국민 004-04-0415-258 계좌)</t>
        </is>
      </c>
      <c r="B50" s="262" t="n"/>
      <c r="G50" s="13" t="n"/>
      <c r="H50" s="270" t="n"/>
      <c r="I50" s="48" t="inlineStr">
        <is>
          <t>미지급금</t>
        </is>
      </c>
      <c r="J50" s="289">
        <f>F46-1</f>
        <v/>
      </c>
      <c r="K50" s="230" t="inlineStr">
        <is>
          <t>1원 조정함</t>
        </is>
      </c>
      <c r="L50" s="230" t="n"/>
      <c r="M50" s="230" t="n"/>
      <c r="N50" s="230" t="n"/>
      <c r="O50" s="230" t="n"/>
      <c r="Q50" s="230" t="n"/>
    </row>
    <row r="51" customFormat="1" s="9">
      <c r="A51" s="20" t="inlineStr">
        <is>
          <t xml:space="preserve"> * 기간 24년 11월 14일까지</t>
        </is>
      </c>
      <c r="B51" s="19" t="n"/>
      <c r="C51" s="18" t="n"/>
      <c r="D51" s="14" t="n"/>
      <c r="E51" s="14" t="n"/>
      <c r="F51" s="14" t="n"/>
      <c r="G51" s="13" t="n"/>
      <c r="H51" s="270" t="n"/>
      <c r="I51" s="291" t="inlineStr">
        <is>
          <t>미수금</t>
        </is>
      </c>
      <c r="J51" s="283">
        <f>B35</f>
        <v/>
      </c>
      <c r="K51" s="290" t="n"/>
      <c r="Q51" s="230" t="n"/>
    </row>
    <row r="52" customFormat="1" s="9">
      <c r="A52" s="14" t="n"/>
      <c r="B52" s="17" t="n"/>
      <c r="C52" s="16" t="n"/>
      <c r="D52" s="14" t="n"/>
      <c r="E52" s="14" t="n"/>
      <c r="F52" s="14" t="n"/>
      <c r="G52" s="13" t="n"/>
      <c r="H52" s="270" t="n"/>
      <c r="I52" s="291" t="n"/>
      <c r="J52" s="283" t="n"/>
      <c r="K52" s="290" t="n"/>
      <c r="Q52" s="230" t="n"/>
    </row>
    <row r="53" customFormat="1" s="9">
      <c r="A53" s="9" t="inlineStr">
        <is>
          <t>* 상품대지급일 (익월 25일까지) - 카드매출금에서 수수료 제외 후 입금</t>
        </is>
      </c>
      <c r="G53" s="13" t="n"/>
      <c r="H53" s="270" t="n"/>
      <c r="I53" s="291" t="n"/>
      <c r="J53" s="283" t="n"/>
      <c r="K53" s="9" t="n"/>
      <c r="Q53" s="230" t="n"/>
    </row>
    <row r="54" ht="16.2" customFormat="1" customHeight="1" s="9" thickBot="1">
      <c r="G54" s="292" t="n"/>
      <c r="H54" s="293">
        <f>SUM(H45:H51)</f>
        <v/>
      </c>
      <c r="I54" s="293" t="n"/>
      <c r="J54" s="294">
        <f>SUM(J45:J52)</f>
        <v/>
      </c>
      <c r="Q54" s="230" t="n"/>
    </row>
    <row r="55" customFormat="1" s="9">
      <c r="B55" s="9" t="inlineStr">
        <is>
          <t>임대보증금</t>
        </is>
      </c>
      <c r="C55" s="9" t="inlineStr">
        <is>
          <t>1억</t>
        </is>
      </c>
      <c r="D55" s="295" t="n"/>
      <c r="Q55" s="230" t="n"/>
    </row>
    <row r="56" customFormat="1" s="9">
      <c r="D56" s="295" t="n"/>
      <c r="Q56" s="230" t="n"/>
    </row>
    <row r="57" customFormat="1" s="9">
      <c r="D57" s="295" t="n"/>
      <c r="J57" s="230" t="n"/>
      <c r="Q57" s="230" t="n"/>
    </row>
    <row r="58">
      <c r="I58" s="172" t="n"/>
    </row>
    <row r="62">
      <c r="M62" s="262">
        <f>123727841-123715241</f>
        <v/>
      </c>
    </row>
  </sheetData>
  <mergeCells count="6">
    <mergeCell ref="E40:E43"/>
    <mergeCell ref="B42:C42"/>
    <mergeCell ref="A40:A43"/>
    <mergeCell ref="B40:C40"/>
    <mergeCell ref="B41:C41"/>
    <mergeCell ref="B43:C43"/>
  </mergeCells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fitToHeight="0"/>
</worksheet>
</file>

<file path=xl/worksheets/sheet11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Y58"/>
  <sheetViews>
    <sheetView zoomScale="85" zoomScaleNormal="85" workbookViewId="0">
      <pane xSplit="1" ySplit="3" topLeftCell="E4" activePane="bottomRight" state="frozen"/>
      <selection activeCell="I16" sqref="I16"/>
      <selection pane="topRight" activeCell="I16" sqref="I16"/>
      <selection pane="bottomLeft" activeCell="I16" sqref="I16"/>
      <selection pane="bottomRight" activeCell="M11" sqref="M11"/>
    </sheetView>
  </sheetViews>
  <sheetFormatPr baseColWidth="8" defaultColWidth="8.8984375" defaultRowHeight="15.6"/>
  <cols>
    <col width="10" customWidth="1" style="110" min="1" max="1"/>
    <col width="12.796875" customWidth="1" style="230" min="2" max="6"/>
    <col width="11.8984375" bestFit="1" customWidth="1" style="230" min="7" max="7"/>
    <col width="16.69921875" customWidth="1" style="230" min="8" max="8"/>
    <col width="11.8984375" bestFit="1" customWidth="1" style="230" min="9" max="9"/>
    <col width="11.8984375" customWidth="1" style="230" min="10" max="12"/>
    <col width="11.3984375" bestFit="1" customWidth="1" style="230" min="13" max="13"/>
    <col width="11.3984375" customWidth="1" style="230" min="14" max="14"/>
    <col width="14.09765625" customWidth="1" style="230" min="15" max="15"/>
    <col width="13.69921875" customWidth="1" style="230" min="16" max="17"/>
    <col width="21.3984375" customWidth="1" style="230" min="18" max="18"/>
    <col width="13.69921875" customWidth="1" style="230" min="19" max="20"/>
    <col width="8.8984375" customWidth="1" style="230" min="21" max="16384"/>
  </cols>
  <sheetData>
    <row r="1" ht="28.5" customHeight="1" s="243">
      <c r="A1" s="242" t="n"/>
      <c r="B1" s="230" t="inlineStr">
        <is>
          <t>마호가니 by 도레도레</t>
        </is>
      </c>
      <c r="C1" s="230" t="inlineStr">
        <is>
          <t>마호가니</t>
        </is>
      </c>
      <c r="D1" s="230" t="inlineStr">
        <is>
          <t>131-86-68405</t>
        </is>
      </c>
      <c r="E1" s="231" t="inlineStr">
        <is>
          <t>168405</t>
        </is>
      </c>
      <c r="F1" s="242" t="n"/>
      <c r="G1" s="242" t="n"/>
      <c r="H1" s="242" t="n"/>
      <c r="I1" s="242" t="n"/>
      <c r="J1" s="242" t="n"/>
      <c r="K1" s="242" t="n"/>
      <c r="L1" s="242" t="n"/>
      <c r="M1" s="242" t="n"/>
      <c r="N1" s="242" t="n"/>
      <c r="S1" s="242" t="n"/>
      <c r="T1" s="242" t="n"/>
    </row>
    <row r="2" ht="20.1" customHeight="1" s="243" thickBot="1">
      <c r="K2" s="78" t="n">
        <v>1048656659</v>
      </c>
      <c r="L2" s="78" t="n">
        <v>119948</v>
      </c>
      <c r="M2" s="77" t="inlineStr">
        <is>
          <t>033138</t>
        </is>
      </c>
      <c r="N2" s="77" t="inlineStr">
        <is>
          <t>007072</t>
        </is>
      </c>
      <c r="O2" s="77" t="inlineStr">
        <is>
          <t>037726</t>
        </is>
      </c>
      <c r="P2" s="77" t="inlineStr">
        <is>
          <t>015419</t>
        </is>
      </c>
      <c r="Q2" s="77" t="inlineStr">
        <is>
          <t>072014</t>
        </is>
      </c>
      <c r="R2" s="77" t="inlineStr">
        <is>
          <t>045602</t>
        </is>
      </c>
      <c r="S2" s="77" t="inlineStr">
        <is>
          <t>054231</t>
        </is>
      </c>
    </row>
    <row r="3" ht="19.95" customFormat="1" customHeight="1" s="75">
      <c r="A3" s="76" t="inlineStr">
        <is>
          <t>일   자</t>
        </is>
      </c>
      <c r="B3" s="76" t="inlineStr">
        <is>
          <t>현금매출액</t>
        </is>
      </c>
      <c r="C3" s="155" t="inlineStr">
        <is>
          <t>입금기한</t>
        </is>
      </c>
      <c r="D3" s="250" t="inlineStr">
        <is>
          <t>입금일자</t>
        </is>
      </c>
      <c r="E3" s="251" t="inlineStr">
        <is>
          <t>입금금액</t>
        </is>
      </c>
      <c r="F3" s="252" t="inlineStr">
        <is>
          <t>잔액</t>
        </is>
      </c>
      <c r="G3" s="76" t="inlineStr">
        <is>
          <t>카드매출액</t>
        </is>
      </c>
      <c r="H3" s="76" t="inlineStr">
        <is>
          <t>할인액</t>
        </is>
      </c>
      <c r="I3" s="253" t="inlineStr">
        <is>
          <t>총매출액</t>
        </is>
      </c>
      <c r="J3" s="253" t="n"/>
      <c r="K3" s="75" t="inlineStr">
        <is>
          <t>하나</t>
        </is>
      </c>
      <c r="L3" s="75" t="inlineStr">
        <is>
          <t>위쳇페이</t>
        </is>
      </c>
      <c r="M3" s="75" t="inlineStr">
        <is>
          <t>KB국민</t>
        </is>
      </c>
      <c r="N3" s="75" t="inlineStr">
        <is>
          <t>NH농협</t>
        </is>
      </c>
      <c r="O3" s="75" t="inlineStr">
        <is>
          <t>비씨</t>
        </is>
      </c>
      <c r="P3" s="75" t="inlineStr">
        <is>
          <t>현대</t>
        </is>
      </c>
      <c r="Q3" s="75" t="inlineStr">
        <is>
          <t>신한</t>
        </is>
      </c>
      <c r="R3" s="75" t="inlineStr">
        <is>
          <t>삼성</t>
        </is>
      </c>
      <c r="S3" s="75" t="inlineStr">
        <is>
          <t>롯데</t>
        </is>
      </c>
      <c r="T3" s="75" t="inlineStr">
        <is>
          <t>합계</t>
        </is>
      </c>
    </row>
    <row r="4" ht="19.95" customHeight="1" s="243">
      <c r="A4" s="70" t="n">
        <v>46082</v>
      </c>
      <c r="B4" s="254" t="n"/>
      <c r="C4" s="255" t="n"/>
      <c r="D4" s="256" t="n"/>
      <c r="E4" s="257" t="n"/>
      <c r="F4" s="258">
        <f>B4-E4</f>
        <v/>
      </c>
      <c r="G4" s="254">
        <f>T4</f>
        <v/>
      </c>
      <c r="H4" s="254" t="n"/>
      <c r="I4" s="259">
        <f>B4+G4+H4</f>
        <v/>
      </c>
      <c r="J4" s="259" t="n"/>
      <c r="K4" s="260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>
        <f>SUM(K4:S4)</f>
        <v/>
      </c>
    </row>
    <row r="5" ht="19.95" customHeight="1" s="243">
      <c r="A5" s="70" t="n">
        <v>46083</v>
      </c>
      <c r="B5" s="254" t="n"/>
      <c r="C5" s="255" t="n"/>
      <c r="D5" s="256" t="n"/>
      <c r="E5" s="257" t="n"/>
      <c r="F5" s="258">
        <f>B5-E5</f>
        <v/>
      </c>
      <c r="G5" s="254">
        <f>T5</f>
        <v/>
      </c>
      <c r="H5" s="254" t="n"/>
      <c r="I5" s="259">
        <f>B5+G5+H5</f>
        <v/>
      </c>
      <c r="J5" s="259" t="n"/>
      <c r="K5" s="260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>
        <f>SUM(K5:S5)</f>
        <v/>
      </c>
    </row>
    <row r="6" ht="19.95" customHeight="1" s="243">
      <c r="A6" s="70" t="n">
        <v>46084</v>
      </c>
      <c r="B6" s="254" t="n"/>
      <c r="C6" s="255" t="n"/>
      <c r="D6" s="256" t="n"/>
      <c r="E6" s="257" t="n"/>
      <c r="F6" s="258">
        <f>B6-E6</f>
        <v/>
      </c>
      <c r="G6" s="254">
        <f>T6</f>
        <v/>
      </c>
      <c r="H6" s="254" t="n"/>
      <c r="I6" s="259">
        <f>B6+G6+H6</f>
        <v/>
      </c>
      <c r="J6" s="259" t="n"/>
      <c r="K6" s="260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>
        <f>SUM(K6:S6)</f>
        <v/>
      </c>
    </row>
    <row r="7" ht="19.95" customHeight="1" s="243">
      <c r="A7" s="70" t="n">
        <v>46085</v>
      </c>
      <c r="B7" s="254" t="n"/>
      <c r="C7" s="255" t="n"/>
      <c r="D7" s="256" t="n"/>
      <c r="E7" s="257" t="n"/>
      <c r="F7" s="258">
        <f>B7-E7</f>
        <v/>
      </c>
      <c r="G7" s="254">
        <f>T7</f>
        <v/>
      </c>
      <c r="H7" s="254" t="n"/>
      <c r="I7" s="259">
        <f>B7+G7+H7</f>
        <v/>
      </c>
      <c r="J7" s="259" t="n"/>
      <c r="K7" s="260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>
        <f>SUM(K7:S7)</f>
        <v/>
      </c>
    </row>
    <row r="8" ht="19.95" customHeight="1" s="243">
      <c r="A8" s="70" t="n">
        <v>46086</v>
      </c>
      <c r="B8" s="254" t="n"/>
      <c r="C8" s="255" t="n"/>
      <c r="D8" s="256" t="n"/>
      <c r="E8" s="257" t="n"/>
      <c r="F8" s="258">
        <f>B8-E8</f>
        <v/>
      </c>
      <c r="G8" s="254">
        <f>T8</f>
        <v/>
      </c>
      <c r="H8" s="254" t="n"/>
      <c r="I8" s="259">
        <f>B8+G8+H8</f>
        <v/>
      </c>
      <c r="J8" s="259" t="n"/>
      <c r="K8" s="260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>
        <f>SUM(K8:S8)</f>
        <v/>
      </c>
      <c r="V8" s="230" t="n"/>
      <c r="W8" s="230" t="n"/>
      <c r="X8" s="230" t="n"/>
      <c r="Y8" s="230" t="n"/>
    </row>
    <row r="9" ht="19.95" customHeight="1" s="243">
      <c r="A9" s="70" t="n">
        <v>46087</v>
      </c>
      <c r="B9" s="254" t="n"/>
      <c r="C9" s="255" t="n"/>
      <c r="D9" s="256" t="n"/>
      <c r="E9" s="257" t="n"/>
      <c r="F9" s="258">
        <f>B9-E9</f>
        <v/>
      </c>
      <c r="G9" s="254">
        <f>T9</f>
        <v/>
      </c>
      <c r="H9" s="254" t="n"/>
      <c r="I9" s="259">
        <f>B9+G9+H9</f>
        <v/>
      </c>
      <c r="J9" s="259" t="n"/>
      <c r="K9" s="260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>
        <f>SUM(K9:S9)</f>
        <v/>
      </c>
      <c r="V9" s="230" t="n"/>
      <c r="W9" s="230" t="n"/>
      <c r="X9" s="230" t="n"/>
      <c r="Y9" s="230" t="n"/>
    </row>
    <row r="10" ht="19.95" customHeight="1" s="243">
      <c r="A10" s="70" t="n">
        <v>46088</v>
      </c>
      <c r="B10" s="254" t="n"/>
      <c r="C10" s="255" t="n"/>
      <c r="D10" s="256" t="n"/>
      <c r="E10" s="257" t="n"/>
      <c r="F10" s="258">
        <f>B10-E10</f>
        <v/>
      </c>
      <c r="G10" s="254">
        <f>T10</f>
        <v/>
      </c>
      <c r="H10" s="254" t="n"/>
      <c r="I10" s="259">
        <f>B10+G10+H10</f>
        <v/>
      </c>
      <c r="J10" s="259" t="n"/>
      <c r="K10" s="260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>
        <f>SUM(K10:S10)</f>
        <v/>
      </c>
      <c r="V10" s="230" t="n"/>
      <c r="W10" s="230" t="n"/>
      <c r="X10" s="230" t="n"/>
      <c r="Y10" s="230" t="n"/>
    </row>
    <row r="11" ht="19.95" customHeight="1" s="243">
      <c r="A11" s="70" t="n">
        <v>46089</v>
      </c>
      <c r="B11" s="254" t="n"/>
      <c r="C11" s="255" t="n"/>
      <c r="D11" s="256" t="n"/>
      <c r="E11" s="257" t="n"/>
      <c r="F11" s="258">
        <f>B11-E11</f>
        <v/>
      </c>
      <c r="G11" s="254">
        <f>T11</f>
        <v/>
      </c>
      <c r="H11" s="254" t="n"/>
      <c r="I11" s="259">
        <f>B11+G11+H11</f>
        <v/>
      </c>
      <c r="J11" s="259" t="n"/>
      <c r="K11" s="260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>
        <f>SUM(K11:S11)</f>
        <v/>
      </c>
      <c r="V11" s="230" t="n"/>
      <c r="W11" s="230" t="n"/>
      <c r="X11" s="230" t="n"/>
      <c r="Y11" s="230" t="n"/>
    </row>
    <row r="12" ht="19.95" customHeight="1" s="243">
      <c r="A12" s="70" t="n">
        <v>46090</v>
      </c>
      <c r="B12" s="254" t="n"/>
      <c r="C12" s="255" t="n"/>
      <c r="D12" s="256" t="n"/>
      <c r="E12" s="257" t="n"/>
      <c r="F12" s="258">
        <f>B12-E12</f>
        <v/>
      </c>
      <c r="G12" s="254">
        <f>T12</f>
        <v/>
      </c>
      <c r="H12" s="254" t="n"/>
      <c r="I12" s="259">
        <f>B12+G12+H12</f>
        <v/>
      </c>
      <c r="J12" s="259" t="n"/>
      <c r="K12" s="260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>
        <f>SUM(K12:S12)</f>
        <v/>
      </c>
      <c r="V12" s="230" t="n"/>
      <c r="W12" s="230" t="n"/>
      <c r="X12" s="230" t="n"/>
      <c r="Y12" s="230" t="n"/>
    </row>
    <row r="13" ht="19.95" customHeight="1" s="243">
      <c r="A13" s="70" t="n">
        <v>46091</v>
      </c>
      <c r="B13" s="254" t="n"/>
      <c r="C13" s="255" t="n"/>
      <c r="D13" s="256" t="n"/>
      <c r="E13" s="257" t="n"/>
      <c r="F13" s="258">
        <f>B13-E13</f>
        <v/>
      </c>
      <c r="G13" s="254">
        <f>T13</f>
        <v/>
      </c>
      <c r="H13" s="254" t="n"/>
      <c r="I13" s="259">
        <f>B13+G13+H13</f>
        <v/>
      </c>
      <c r="J13" s="259" t="n"/>
      <c r="K13" s="260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>
        <f>SUM(K13:S13)</f>
        <v/>
      </c>
      <c r="U13" s="262" t="n"/>
      <c r="V13" s="230" t="n"/>
      <c r="W13" s="230" t="n"/>
      <c r="X13" s="230" t="n"/>
      <c r="Y13" s="230" t="n"/>
    </row>
    <row r="14" ht="19.95" customHeight="1" s="243">
      <c r="A14" s="70" t="n">
        <v>46092</v>
      </c>
      <c r="B14" s="254" t="n"/>
      <c r="C14" s="255" t="n"/>
      <c r="D14" s="256" t="n"/>
      <c r="E14" s="257" t="n"/>
      <c r="F14" s="258">
        <f>B14-E14</f>
        <v/>
      </c>
      <c r="G14" s="254">
        <f>T14</f>
        <v/>
      </c>
      <c r="H14" s="254" t="n"/>
      <c r="I14" s="259">
        <f>B14+G14+H14</f>
        <v/>
      </c>
      <c r="J14" s="259" t="n"/>
      <c r="K14" s="260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>
        <f>SUM(K14:S14)</f>
        <v/>
      </c>
      <c r="U14" s="262" t="n"/>
      <c r="V14" s="262" t="n"/>
      <c r="W14" s="230" t="n"/>
      <c r="X14" s="230" t="n"/>
      <c r="Y14" s="230" t="n"/>
    </row>
    <row r="15" ht="19.2" customHeight="1" s="243">
      <c r="A15" s="70" t="n">
        <v>46093</v>
      </c>
      <c r="B15" s="254" t="n"/>
      <c r="C15" s="255" t="n"/>
      <c r="D15" s="256" t="n"/>
      <c r="E15" s="257" t="n"/>
      <c r="F15" s="258">
        <f>B15-E15</f>
        <v/>
      </c>
      <c r="G15" s="254">
        <f>T15</f>
        <v/>
      </c>
      <c r="H15" s="254" t="n"/>
      <c r="I15" s="259">
        <f>B15+G15+H15</f>
        <v/>
      </c>
      <c r="J15" s="259" t="n"/>
      <c r="K15" s="260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>
        <f>SUM(K15:S15)</f>
        <v/>
      </c>
      <c r="U15" s="262" t="n"/>
      <c r="V15" s="262" t="n"/>
      <c r="W15" s="230" t="n"/>
      <c r="X15" s="230" t="n"/>
      <c r="Y15" s="230" t="n"/>
    </row>
    <row r="16" ht="19.95" customHeight="1" s="243">
      <c r="A16" s="70" t="n">
        <v>46094</v>
      </c>
      <c r="B16" s="254" t="n"/>
      <c r="C16" s="255" t="n"/>
      <c r="D16" s="256" t="n"/>
      <c r="E16" s="257" t="n"/>
      <c r="F16" s="258">
        <f>B16-E16</f>
        <v/>
      </c>
      <c r="G16" s="254">
        <f>T16</f>
        <v/>
      </c>
      <c r="H16" s="254" t="n"/>
      <c r="I16" s="259">
        <f>B16+G16+H16</f>
        <v/>
      </c>
      <c r="J16" s="259" t="n"/>
      <c r="K16" s="260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>
        <f>SUM(K16:S16)</f>
        <v/>
      </c>
      <c r="U16" s="262" t="n"/>
      <c r="V16" s="262" t="n"/>
      <c r="W16" s="230" t="n"/>
      <c r="X16" s="230" t="n"/>
      <c r="Y16" s="230" t="n"/>
    </row>
    <row r="17" ht="19.95" customHeight="1" s="243">
      <c r="A17" s="70" t="n">
        <v>46095</v>
      </c>
      <c r="B17" s="254" t="n"/>
      <c r="C17" s="255" t="n"/>
      <c r="D17" s="256" t="n"/>
      <c r="E17" s="257" t="n"/>
      <c r="F17" s="258">
        <f>B17-E17</f>
        <v/>
      </c>
      <c r="G17" s="254">
        <f>T17</f>
        <v/>
      </c>
      <c r="H17" s="254" t="n"/>
      <c r="I17" s="259">
        <f>B17+G17+H17</f>
        <v/>
      </c>
      <c r="J17" s="259" t="n"/>
      <c r="K17" s="260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>
        <f>SUM(K17:S17)</f>
        <v/>
      </c>
      <c r="U17" s="262" t="n"/>
      <c r="V17" s="262" t="n"/>
    </row>
    <row r="18" ht="19.95" customFormat="1" customHeight="1" s="72">
      <c r="A18" s="70" t="n">
        <v>46096</v>
      </c>
      <c r="B18" s="254" t="n"/>
      <c r="C18" s="255" t="n"/>
      <c r="D18" s="256" t="n"/>
      <c r="E18" s="257" t="n"/>
      <c r="F18" s="258">
        <f>B18-E18</f>
        <v/>
      </c>
      <c r="G18" s="254">
        <f>T18</f>
        <v/>
      </c>
      <c r="H18" s="254" t="n"/>
      <c r="I18" s="259">
        <f>B18+G18+H18</f>
        <v/>
      </c>
      <c r="J18" s="259" t="n"/>
      <c r="K18" s="260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>
        <f>SUM(K18:S18)</f>
        <v/>
      </c>
      <c r="U18" s="262" t="n"/>
      <c r="V18" s="262" t="n"/>
      <c r="W18" s="230" t="n"/>
    </row>
    <row r="19" ht="19.95" customHeight="1" s="243">
      <c r="A19" s="70" t="n">
        <v>46097</v>
      </c>
      <c r="B19" s="254" t="n"/>
      <c r="C19" s="255" t="n"/>
      <c r="D19" s="256" t="n"/>
      <c r="E19" s="257" t="n"/>
      <c r="F19" s="258">
        <f>B19-E19</f>
        <v/>
      </c>
      <c r="G19" s="254">
        <f>T19</f>
        <v/>
      </c>
      <c r="H19" s="254" t="n"/>
      <c r="I19" s="259">
        <f>B19+G19+H19</f>
        <v/>
      </c>
      <c r="J19" s="259" t="n"/>
      <c r="K19" s="260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>
        <f>SUM(K19:S19)</f>
        <v/>
      </c>
      <c r="U19" s="262" t="n"/>
      <c r="V19" s="262" t="n"/>
    </row>
    <row r="20" ht="19.95" customHeight="1" s="243">
      <c r="A20" s="70" t="n">
        <v>46098</v>
      </c>
      <c r="B20" s="254" t="n"/>
      <c r="C20" s="255" t="n"/>
      <c r="D20" s="256" t="n"/>
      <c r="E20" s="257" t="n"/>
      <c r="F20" s="258">
        <f>B20-E20</f>
        <v/>
      </c>
      <c r="G20" s="254">
        <f>T20</f>
        <v/>
      </c>
      <c r="H20" s="254" t="n"/>
      <c r="I20" s="259">
        <f>B20+G20+H20</f>
        <v/>
      </c>
      <c r="J20" s="259" t="n"/>
      <c r="K20" s="260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>
        <f>SUM(K20:S20)</f>
        <v/>
      </c>
      <c r="U20" s="262" t="n"/>
      <c r="V20" s="262" t="n"/>
    </row>
    <row r="21" ht="19.95" customHeight="1" s="243">
      <c r="A21" s="70" t="n">
        <v>46099</v>
      </c>
      <c r="B21" s="254" t="n"/>
      <c r="C21" s="255" t="n"/>
      <c r="D21" s="256" t="n"/>
      <c r="E21" s="257" t="n"/>
      <c r="F21" s="258">
        <f>B21-E21</f>
        <v/>
      </c>
      <c r="G21" s="254">
        <f>T21</f>
        <v/>
      </c>
      <c r="H21" s="254" t="n"/>
      <c r="I21" s="259">
        <f>B21+G21+H21</f>
        <v/>
      </c>
      <c r="J21" s="259" t="n"/>
      <c r="K21" s="260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>
        <f>SUM(K21:S21)</f>
        <v/>
      </c>
      <c r="U21" s="262" t="n"/>
      <c r="V21" s="262" t="n"/>
    </row>
    <row r="22" ht="19.95" customHeight="1" s="243">
      <c r="A22" s="70" t="n">
        <v>46100</v>
      </c>
      <c r="B22" s="254" t="n"/>
      <c r="C22" s="255" t="n"/>
      <c r="D22" s="256" t="n"/>
      <c r="E22" s="257" t="n"/>
      <c r="F22" s="258">
        <f>B22-E22</f>
        <v/>
      </c>
      <c r="G22" s="254">
        <f>T22</f>
        <v/>
      </c>
      <c r="H22" s="254" t="n"/>
      <c r="I22" s="259">
        <f>B22+G22+H22</f>
        <v/>
      </c>
      <c r="J22" s="259" t="n"/>
      <c r="K22" s="260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>
        <f>SUM(K22:S22)</f>
        <v/>
      </c>
    </row>
    <row r="23" ht="19.95" customHeight="1" s="243">
      <c r="A23" s="70" t="n">
        <v>46101</v>
      </c>
      <c r="B23" s="254" t="n"/>
      <c r="C23" s="255" t="n"/>
      <c r="D23" s="256" t="n"/>
      <c r="E23" s="257" t="n"/>
      <c r="F23" s="258">
        <f>B23-E23</f>
        <v/>
      </c>
      <c r="G23" s="254">
        <f>T23</f>
        <v/>
      </c>
      <c r="H23" s="254" t="n"/>
      <c r="I23" s="259">
        <f>B23+G23+H23</f>
        <v/>
      </c>
      <c r="J23" s="259" t="n"/>
      <c r="K23" s="260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>
        <f>SUM(K23:S23)</f>
        <v/>
      </c>
    </row>
    <row r="24" ht="19.95" customHeight="1" s="243">
      <c r="A24" s="70" t="n">
        <v>46102</v>
      </c>
      <c r="B24" s="254" t="n"/>
      <c r="C24" s="255" t="n"/>
      <c r="D24" s="256" t="n"/>
      <c r="E24" s="257" t="n"/>
      <c r="F24" s="258">
        <f>B24-E24</f>
        <v/>
      </c>
      <c r="G24" s="254">
        <f>T24</f>
        <v/>
      </c>
      <c r="H24" s="254" t="n"/>
      <c r="I24" s="259">
        <f>B24+G24+H24</f>
        <v/>
      </c>
      <c r="J24" s="259" t="n"/>
      <c r="K24" s="260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>
        <f>SUM(K24:S24)</f>
        <v/>
      </c>
    </row>
    <row r="25" ht="19.95" customHeight="1" s="243">
      <c r="A25" s="70" t="n">
        <v>46103</v>
      </c>
      <c r="B25" s="254" t="n"/>
      <c r="C25" s="255" t="n"/>
      <c r="D25" s="256" t="n"/>
      <c r="E25" s="257" t="n"/>
      <c r="F25" s="258">
        <f>B25-E25</f>
        <v/>
      </c>
      <c r="G25" s="254">
        <f>T25</f>
        <v/>
      </c>
      <c r="H25" s="254" t="n"/>
      <c r="I25" s="259">
        <f>B25+G25+H25</f>
        <v/>
      </c>
      <c r="J25" s="259" t="n"/>
      <c r="K25" s="260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>
        <f>SUM(K25:S25)</f>
        <v/>
      </c>
    </row>
    <row r="26" ht="19.95" customHeight="1" s="243">
      <c r="A26" s="70" t="n">
        <v>46104</v>
      </c>
      <c r="B26" s="254" t="n"/>
      <c r="C26" s="255" t="n"/>
      <c r="D26" s="256" t="n"/>
      <c r="E26" s="257" t="n"/>
      <c r="F26" s="258">
        <f>B26-E26</f>
        <v/>
      </c>
      <c r="G26" s="254">
        <f>T26</f>
        <v/>
      </c>
      <c r="H26" s="254" t="n"/>
      <c r="I26" s="259">
        <f>B26+G26+H26</f>
        <v/>
      </c>
      <c r="J26" s="259" t="n"/>
      <c r="K26" s="260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>
        <f>SUM(K26:S26)</f>
        <v/>
      </c>
    </row>
    <row r="27" ht="19.95" customHeight="1" s="243">
      <c r="A27" s="70" t="n">
        <v>46105</v>
      </c>
      <c r="B27" s="254" t="n"/>
      <c r="C27" s="255" t="n"/>
      <c r="D27" s="256" t="n"/>
      <c r="E27" s="257" t="n"/>
      <c r="F27" s="258">
        <f>B27-E27</f>
        <v/>
      </c>
      <c r="G27" s="254">
        <f>T27</f>
        <v/>
      </c>
      <c r="H27" s="254" t="n"/>
      <c r="I27" s="259">
        <f>B27+G27+H27</f>
        <v/>
      </c>
      <c r="J27" s="259" t="n"/>
      <c r="K27" s="260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>
        <f>SUM(K27:S27)</f>
        <v/>
      </c>
    </row>
    <row r="28" ht="19.95" customFormat="1" customHeight="1" s="72">
      <c r="A28" s="70" t="n">
        <v>46106</v>
      </c>
      <c r="B28" s="254" t="n"/>
      <c r="C28" s="255" t="n"/>
      <c r="D28" s="256" t="n"/>
      <c r="E28" s="257" t="n"/>
      <c r="F28" s="258">
        <f>B28-E28</f>
        <v/>
      </c>
      <c r="G28" s="254">
        <f>T28</f>
        <v/>
      </c>
      <c r="H28" s="254" t="n"/>
      <c r="I28" s="259">
        <f>B28+G28+H28</f>
        <v/>
      </c>
      <c r="J28" s="259" t="n"/>
      <c r="K28" s="260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>
        <f>SUM(K28:S28)</f>
        <v/>
      </c>
      <c r="U28" s="262" t="n"/>
      <c r="V28" s="230" t="n"/>
      <c r="W28" s="230" t="n"/>
      <c r="X28" s="230" t="n"/>
    </row>
    <row r="29" ht="19.95" customHeight="1" s="243">
      <c r="A29" s="70" t="n">
        <v>46107</v>
      </c>
      <c r="B29" s="254" t="n"/>
      <c r="C29" s="255" t="n"/>
      <c r="D29" s="256" t="n"/>
      <c r="E29" s="257" t="n"/>
      <c r="F29" s="258">
        <f>B29-E29</f>
        <v/>
      </c>
      <c r="G29" s="254">
        <f>T29</f>
        <v/>
      </c>
      <c r="H29" s="254" t="n"/>
      <c r="I29" s="259">
        <f>B29+G29+H29</f>
        <v/>
      </c>
      <c r="J29" s="259" t="n"/>
      <c r="K29" s="260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>
        <f>SUM(K29:S29)</f>
        <v/>
      </c>
    </row>
    <row r="30" ht="19.95" customHeight="1" s="243">
      <c r="A30" s="70" t="n">
        <v>46108</v>
      </c>
      <c r="B30" s="254" t="n"/>
      <c r="C30" s="255" t="n"/>
      <c r="D30" s="256" t="n"/>
      <c r="E30" s="257" t="n"/>
      <c r="F30" s="258">
        <f>B30-E30</f>
        <v/>
      </c>
      <c r="G30" s="254">
        <f>T30</f>
        <v/>
      </c>
      <c r="H30" s="254" t="n"/>
      <c r="I30" s="259">
        <f>B30+G30+H30</f>
        <v/>
      </c>
      <c r="J30" s="259" t="n"/>
      <c r="K30" s="260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>
        <f>SUM(K30:S30)</f>
        <v/>
      </c>
    </row>
    <row r="31" ht="19.95" customHeight="1" s="243">
      <c r="A31" s="70" t="n">
        <v>46109</v>
      </c>
      <c r="B31" s="254" t="n"/>
      <c r="C31" s="255" t="n"/>
      <c r="D31" s="256" t="n"/>
      <c r="E31" s="257" t="n"/>
      <c r="F31" s="258">
        <f>B31-E31</f>
        <v/>
      </c>
      <c r="G31" s="254">
        <f>T31</f>
        <v/>
      </c>
      <c r="H31" s="254" t="n"/>
      <c r="I31" s="259">
        <f>B31+G31+H31</f>
        <v/>
      </c>
      <c r="J31" s="259" t="n"/>
      <c r="K31" s="260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>
        <f>SUM(K31:S31)</f>
        <v/>
      </c>
    </row>
    <row r="32" ht="19.95" customFormat="1" customHeight="1" s="72">
      <c r="A32" s="70" t="n">
        <v>46110</v>
      </c>
      <c r="B32" s="254" t="n">
        <v>67550</v>
      </c>
      <c r="C32" s="255" t="n">
        <v>0</v>
      </c>
      <c r="D32" s="256" t="n"/>
      <c r="E32" s="257" t="n">
        <v>0</v>
      </c>
      <c r="F32" s="258">
        <f>B32-E32</f>
        <v/>
      </c>
      <c r="G32" s="254">
        <f>T32</f>
        <v/>
      </c>
      <c r="H32" s="254" t="n"/>
      <c r="I32" s="259">
        <f>B32+G32+H32</f>
        <v/>
      </c>
      <c r="J32" s="259" t="n"/>
      <c r="K32" s="260" t="n"/>
      <c r="L32" s="261" t="n"/>
      <c r="M32" s="261" t="n">
        <v>717530</v>
      </c>
      <c r="N32" s="261" t="n">
        <v>0</v>
      </c>
      <c r="O32" s="261" t="n">
        <v>1101530</v>
      </c>
      <c r="P32" s="261" t="n">
        <v>397630</v>
      </c>
      <c r="Q32" s="261" t="n">
        <v>737840</v>
      </c>
      <c r="R32" s="261" t="n">
        <v>479590</v>
      </c>
      <c r="S32" s="261" t="n">
        <v>874890</v>
      </c>
      <c r="T32" s="261" t="n">
        <v>333080</v>
      </c>
      <c r="U32" s="230" t="n">
        <v>314000</v>
      </c>
      <c r="V32" s="230" t="n"/>
      <c r="W32" s="230" t="n"/>
      <c r="X32" s="230" t="n"/>
    </row>
    <row r="33" ht="19.95" customFormat="1" customHeight="1" s="72">
      <c r="A33" s="70" t="n">
        <v>46111</v>
      </c>
      <c r="B33" s="254" t="n"/>
      <c r="C33" s="255" t="n"/>
      <c r="D33" s="256" t="n"/>
      <c r="E33" s="257" t="n"/>
      <c r="F33" s="258">
        <f>B33-E33</f>
        <v/>
      </c>
      <c r="G33" s="254">
        <f>T33</f>
        <v/>
      </c>
      <c r="H33" s="254" t="n"/>
      <c r="I33" s="259">
        <f>B33+G33+H33</f>
        <v/>
      </c>
      <c r="J33" s="259" t="n"/>
      <c r="K33" s="260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>
        <f>SUM(K33:S33)</f>
        <v/>
      </c>
      <c r="U33" s="230" t="n"/>
      <c r="V33" s="230" t="n"/>
      <c r="W33" s="230" t="n"/>
      <c r="X33" s="230" t="n"/>
    </row>
    <row r="34" ht="19.95" customFormat="1" customHeight="1" s="72">
      <c r="A34" s="70" t="n">
        <v>46112</v>
      </c>
      <c r="B34" s="254" t="n"/>
      <c r="C34" s="255" t="n"/>
      <c r="D34" s="256" t="n"/>
      <c r="E34" s="257" t="n"/>
      <c r="F34" s="258">
        <f>B34-E34</f>
        <v/>
      </c>
      <c r="G34" s="254">
        <f>T34</f>
        <v/>
      </c>
      <c r="H34" s="254" t="n"/>
      <c r="I34" s="259">
        <f>B34+G34+H34</f>
        <v/>
      </c>
      <c r="J34" s="259" t="n"/>
      <c r="K34" s="260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>
        <f>SUM(K34:S34)</f>
        <v/>
      </c>
      <c r="U34" s="230" t="n"/>
      <c r="V34" s="230" t="n"/>
      <c r="W34" s="230" t="n"/>
      <c r="X34" s="230" t="n"/>
    </row>
    <row r="35" ht="19.95" customHeight="1" s="243">
      <c r="A35" s="70" t="inlineStr">
        <is>
          <t>합계</t>
        </is>
      </c>
      <c r="B35" s="263">
        <f>SUM(B4:B34)</f>
        <v/>
      </c>
      <c r="C35" s="263">
        <f>SUM(C4:C34)</f>
        <v/>
      </c>
      <c r="D35" s="263">
        <f>SUM(D9:D34)</f>
        <v/>
      </c>
      <c r="E35" s="263">
        <f>SUM(E4:E34)</f>
        <v/>
      </c>
      <c r="F35" s="263">
        <f>SUM(F4:F34)</f>
        <v/>
      </c>
      <c r="G35" s="263">
        <f>SUM(G4:G34)</f>
        <v/>
      </c>
      <c r="H35" s="263">
        <f>SUM(H4:H34)</f>
        <v/>
      </c>
      <c r="I35" s="263">
        <f>SUM(I4:I34)</f>
        <v/>
      </c>
      <c r="J35" s="263" t="n"/>
      <c r="K35" s="263">
        <f>SUM(K4:K34)</f>
        <v/>
      </c>
      <c r="L35" s="263" t="n"/>
      <c r="M35" s="263">
        <f>SUM(M4:M34)</f>
        <v/>
      </c>
      <c r="N35" s="263">
        <f>SUM(N4:N34)</f>
        <v/>
      </c>
      <c r="O35" s="263">
        <f>SUM(O4:O34)</f>
        <v/>
      </c>
      <c r="P35" s="263">
        <f>SUM(P4:P34)</f>
        <v/>
      </c>
      <c r="Q35" s="263">
        <f>SUM(Q4:Q34)</f>
        <v/>
      </c>
      <c r="R35" s="263">
        <f>SUM(R4:R34)</f>
        <v/>
      </c>
      <c r="S35" s="263">
        <f>SUM(S4:S34)</f>
        <v/>
      </c>
      <c r="T35" s="263">
        <f>SUM(T4:T34)</f>
        <v/>
      </c>
    </row>
    <row r="36" ht="19.95" customHeight="1" s="243">
      <c r="A36" s="228" t="n"/>
      <c r="B36" s="296" t="n"/>
      <c r="C36" s="261" t="n"/>
      <c r="D36" s="261" t="n"/>
      <c r="E36" s="261" t="n"/>
      <c r="F36" s="261" t="n"/>
      <c r="G36" s="261" t="n"/>
      <c r="H36" s="261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</row>
    <row r="37" ht="19.95" customHeight="1" s="243">
      <c r="A37" s="228" t="n"/>
      <c r="B37" s="296" t="n"/>
      <c r="C37" s="261" t="n"/>
      <c r="D37" s="261" t="n"/>
      <c r="E37" s="261" t="n"/>
      <c r="F37" s="261" t="n"/>
      <c r="G37" s="261" t="n"/>
      <c r="H37" s="261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</row>
    <row r="38">
      <c r="A38" s="68" t="inlineStr">
        <is>
          <t>해외카드 결제분 있을 시, BC카드 가맹점 홈페이지 확인</t>
        </is>
      </c>
      <c r="B38" s="67" t="n"/>
      <c r="C38" s="230" t="n"/>
      <c r="D38" s="230" t="n"/>
      <c r="E38" s="230" t="n"/>
      <c r="F38" s="230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  <c r="R38" s="262" t="n"/>
      <c r="S38" s="262" t="n"/>
      <c r="T38" s="262" t="n"/>
    </row>
    <row r="39">
      <c r="A39" s="66" t="n"/>
    </row>
    <row r="40">
      <c r="A40" s="212" t="n"/>
      <c r="B40" s="220" t="n"/>
      <c r="C40" s="220" t="n"/>
      <c r="D40" s="220" t="n"/>
      <c r="E40" s="225" t="inlineStr">
        <is>
          <t>얘네 현금입금함</t>
        </is>
      </c>
      <c r="F40" s="220" t="n"/>
      <c r="G40" s="220" t="n"/>
      <c r="H40" s="350" t="n"/>
      <c r="I40" s="351" t="n"/>
      <c r="J40" s="351" t="n"/>
      <c r="K40" s="351" t="n"/>
      <c r="L40" s="351" t="n"/>
      <c r="M40" s="277" t="n"/>
      <c r="N40" s="260" t="n"/>
      <c r="O40" s="270" t="n"/>
      <c r="P40" s="48" t="n"/>
      <c r="Q40" s="260" t="n"/>
    </row>
    <row r="41">
      <c r="A41" s="94" t="inlineStr">
        <is>
          <t>수수료율</t>
        </is>
      </c>
      <c r="B41" s="170" t="n">
        <v>0.15</v>
      </c>
      <c r="C41" s="94" t="inlineStr">
        <is>
          <t>최저</t>
        </is>
      </c>
      <c r="D41" s="93" t="n"/>
      <c r="E41" s="33" t="inlineStr">
        <is>
          <t>매출원가</t>
        </is>
      </c>
      <c r="F41" s="260">
        <f>I35-B42</f>
        <v/>
      </c>
      <c r="H41" s="270" t="n"/>
      <c r="J41" s="230" t="n"/>
      <c r="K41" s="230" t="n"/>
      <c r="L41" s="230" t="n"/>
      <c r="N41" s="284" t="n"/>
      <c r="O41" s="270" t="n"/>
      <c r="P41" s="48" t="n"/>
      <c r="Q41" s="260" t="n"/>
    </row>
    <row r="42">
      <c r="A42" s="94" t="inlineStr">
        <is>
          <t>임대료</t>
        </is>
      </c>
      <c r="B42" s="338">
        <f>ROUND(B44/1.1,0)</f>
        <v/>
      </c>
      <c r="C42" s="354" t="n">
        <v>7000000</v>
      </c>
      <c r="D42" s="260" t="n"/>
      <c r="E42" s="33" t="inlineStr">
        <is>
          <t>미지급금</t>
        </is>
      </c>
      <c r="F42" s="284">
        <f>I35-B44-H35</f>
        <v/>
      </c>
      <c r="H42" s="85" t="n"/>
      <c r="J42" s="230" t="n"/>
      <c r="K42" s="230" t="n"/>
      <c r="L42" s="230" t="n"/>
      <c r="N42" s="260" t="n"/>
      <c r="O42" s="270" t="n"/>
      <c r="P42" s="48" t="n"/>
      <c r="Q42" s="260" t="n"/>
    </row>
    <row r="43">
      <c r="A43" s="94" t="inlineStr">
        <is>
          <t>VAT</t>
        </is>
      </c>
      <c r="B43" s="338">
        <f>+B44-B42</f>
        <v/>
      </c>
      <c r="C43" s="308">
        <f>C42/10</f>
        <v/>
      </c>
      <c r="D43" s="260" t="n"/>
      <c r="E43" s="33" t="n"/>
      <c r="F43" s="260" t="n"/>
      <c r="H43" s="85" t="n"/>
      <c r="J43" s="230" t="n"/>
      <c r="K43" s="230" t="n"/>
      <c r="L43" s="230" t="n"/>
      <c r="N43" s="270" t="n"/>
      <c r="O43" s="270" t="n"/>
      <c r="P43" s="270" t="n"/>
      <c r="Q43" s="260" t="n"/>
    </row>
    <row r="44" ht="16.2" customHeight="1" s="243" thickBot="1">
      <c r="A44" s="94" t="inlineStr">
        <is>
          <t>합계</t>
        </is>
      </c>
      <c r="B44" s="339">
        <f>I35*B41</f>
        <v/>
      </c>
      <c r="C44" s="308">
        <f>C43+C42</f>
        <v/>
      </c>
      <c r="D44" s="262" t="n"/>
      <c r="E44" s="262" t="n"/>
      <c r="F44" s="262" t="n"/>
      <c r="H44" s="85" t="n"/>
      <c r="I44" s="33" t="n"/>
      <c r="J44" s="230" t="n"/>
      <c r="K44" s="230" t="n"/>
      <c r="L44" s="230" t="n"/>
      <c r="M44" s="270" t="n"/>
      <c r="N44" s="270" t="n"/>
      <c r="O44" s="270" t="n"/>
      <c r="P44" s="270" t="n"/>
      <c r="Q44" s="270" t="n"/>
    </row>
    <row r="45" customFormat="1" s="9">
      <c r="A45" s="27" t="n"/>
      <c r="B45" s="26" t="n"/>
      <c r="C45" s="26" t="n"/>
      <c r="D45" s="26" t="n"/>
      <c r="E45" s="26" t="n"/>
      <c r="F45" s="42" t="inlineStr">
        <is>
          <t>임대을매출</t>
        </is>
      </c>
      <c r="G45" s="278">
        <f>I35</f>
        <v/>
      </c>
      <c r="H45" s="40" t="inlineStr">
        <is>
          <t>임대을매출원가</t>
        </is>
      </c>
      <c r="I45" s="279">
        <f>G47</f>
        <v/>
      </c>
      <c r="O45" s="270" t="n"/>
      <c r="T45" s="230" t="n"/>
    </row>
    <row r="46" customFormat="1" s="9">
      <c r="A46" s="20" t="inlineStr">
        <is>
          <t xml:space="preserve"> * 당사 카드 단말기 사용 (국민 004-04-0415-258 계좌)</t>
        </is>
      </c>
      <c r="B46" s="262" t="n"/>
      <c r="C46" s="262" t="n"/>
      <c r="D46" s="262" t="n"/>
      <c r="E46" s="262" t="n"/>
      <c r="F46" s="13" t="n"/>
      <c r="G46" s="270" t="n"/>
      <c r="H46" s="48" t="n"/>
      <c r="I46" s="283" t="n"/>
      <c r="N46" s="85" t="n"/>
      <c r="O46" s="290" t="n"/>
      <c r="T46" s="230" t="n"/>
    </row>
    <row r="47" customFormat="1" s="9">
      <c r="A47" s="20" t="inlineStr">
        <is>
          <t xml:space="preserve"> * 기간 24년 11월 14일까지</t>
        </is>
      </c>
      <c r="B47" s="19" t="n"/>
      <c r="C47" s="19" t="n"/>
      <c r="D47" s="19" t="n"/>
      <c r="E47" s="19" t="n"/>
      <c r="F47" s="13" t="inlineStr">
        <is>
          <t>임대을매출원가</t>
        </is>
      </c>
      <c r="G47" s="270">
        <f>F41</f>
        <v/>
      </c>
      <c r="H47" s="48" t="inlineStr">
        <is>
          <t>임대을매출_할인</t>
        </is>
      </c>
      <c r="I47" s="283">
        <f>H35</f>
        <v/>
      </c>
      <c r="J47" s="14" t="n"/>
      <c r="K47" s="14" t="n"/>
      <c r="L47" s="14" t="n"/>
      <c r="N47" s="85" t="n"/>
      <c r="O47" s="290" t="n"/>
      <c r="T47" s="230" t="n"/>
    </row>
    <row r="48" customFormat="1" s="9">
      <c r="A48" s="14" t="n"/>
      <c r="B48" s="17" t="n"/>
      <c r="C48" s="17" t="n"/>
      <c r="D48" s="17" t="n"/>
      <c r="E48" s="17" t="n"/>
      <c r="F48" s="13" t="n"/>
      <c r="G48" s="270" t="n"/>
      <c r="H48" s="48" t="inlineStr">
        <is>
          <t>임대을매출_수수료</t>
        </is>
      </c>
      <c r="I48" s="283">
        <f>B42</f>
        <v/>
      </c>
      <c r="J48" s="14" t="n"/>
      <c r="K48" s="14" t="n"/>
      <c r="L48" s="14" t="n"/>
      <c r="N48" s="85" t="n"/>
      <c r="O48" s="290" t="n"/>
      <c r="T48" s="230" t="n"/>
    </row>
    <row r="49" customFormat="1" s="9">
      <c r="A49" s="9" t="inlineStr">
        <is>
          <t>* 상품대지급일 (익월 25일까지) - 카드매출금에서 수수료 제외 후 입금</t>
        </is>
      </c>
      <c r="F49" s="13" t="n"/>
      <c r="G49" s="270" t="n"/>
      <c r="H49" s="48" t="inlineStr">
        <is>
          <t>예수부가세</t>
        </is>
      </c>
      <c r="I49" s="283">
        <f>B43</f>
        <v/>
      </c>
      <c r="N49" s="9" t="n"/>
      <c r="O49" s="9" t="n"/>
      <c r="T49" s="230" t="n"/>
    </row>
    <row r="50" customFormat="1" s="9">
      <c r="F50" s="13" t="n"/>
      <c r="G50" s="270" t="n"/>
      <c r="H50" s="48" t="inlineStr">
        <is>
          <t>미지급금</t>
        </is>
      </c>
      <c r="I50" s="289">
        <f>F42</f>
        <v/>
      </c>
      <c r="T50" s="230" t="n"/>
    </row>
    <row r="51" customFormat="1" s="9">
      <c r="F51" s="13" t="n"/>
      <c r="G51" s="270" t="n"/>
      <c r="H51" s="291" t="n"/>
      <c r="I51" s="283">
        <f>F43</f>
        <v/>
      </c>
      <c r="T51" s="230" t="n"/>
    </row>
    <row r="52" customFormat="1" s="9">
      <c r="F52" s="13" t="n"/>
      <c r="G52" s="270" t="n"/>
      <c r="H52" s="291" t="n"/>
      <c r="I52" s="283" t="n"/>
      <c r="T52" s="230" t="n"/>
    </row>
    <row r="53" customFormat="1" s="9">
      <c r="F53" s="13" t="n"/>
      <c r="G53" s="270" t="n"/>
      <c r="H53" s="291" t="n"/>
      <c r="I53" s="283" t="n"/>
      <c r="N53" s="230" t="n"/>
      <c r="T53" s="230" t="n"/>
    </row>
    <row r="54" ht="16.2" customHeight="1" s="243" thickBot="1">
      <c r="F54" s="292" t="n"/>
      <c r="G54" s="293">
        <f>SUM(G45:G51)</f>
        <v/>
      </c>
      <c r="H54" s="293" t="n"/>
      <c r="I54" s="294">
        <f>SUM(I45:I52)</f>
        <v/>
      </c>
      <c r="M54" s="172" t="n"/>
    </row>
    <row r="58">
      <c r="Q58" s="262">
        <f>123727841-123715241</f>
        <v/>
      </c>
    </row>
  </sheetData>
  <printOptions horizontalCentered="1" verticalCentered="1"/>
  <pageMargins left="0.1574803149606299" right="0.1574803149606299" top="0.1574803149606299" bottom="0.1574803149606299" header="0.1574803149606299" footer="0.1968503937007874"/>
  <pageSetup orientation="portrait" paperSize="9" scale="8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2026-04-09T04:49:40Z</dcterms:created>
  <dcterms:modified xmlns:dcterms="http://purl.org/dc/terms/" xmlns:xsi="http://www.w3.org/2001/XMLSchema-instance" xsi:type="dcterms:W3CDTF">2026-04-10T02:21:38Z</dcterms:modified>
  <cp:lastModifiedBy>User</cp:lastModifiedBy>
</cp:coreProperties>
</file>
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x\new\excel\"/>
    </mc:Choice>
  </mc:AlternateContent>
  <bookViews>
    <workbookView xWindow="0" yWindow="0" windowWidth="23040" windowHeight="8292"/>
  </bookViews>
  <sheets>
    <sheet name="대량전표입력" sheetId="1" r:id="rId1"/>
  </sheets>
  <calcPr calcId="152511"/>
</workbook>
</file>

<file path=xl/calcChain.xml><?xml version="1.0" encoding="utf-8"?>
<calcChain xmlns="http://schemas.openxmlformats.org/spreadsheetml/2006/main">
  <c r="E103" i="1" l="1"/>
  <c r="E102" i="1"/>
  <c r="E101" i="1"/>
  <c r="E100" i="1"/>
  <c r="E99" i="1"/>
  <c r="E98" i="1"/>
  <c r="E97" i="1"/>
  <c r="E96" i="1"/>
  <c r="E95" i="1"/>
  <c r="E94" i="1"/>
  <c r="E93" i="1" l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<sst xmlns="http://schemas.openxmlformats.org/spreadsheetml/2006/main" count="1662" uniqueCount="245">
  <si>
    <t>DOCU_NO</t>
  </si>
  <si>
    <t>전표번호</t>
  </si>
  <si>
    <t>타입 : 문자
길이 : 20
필수 : N
설명 : 전표번호를 입력합니다.</t>
  </si>
  <si>
    <t>DOLINE_SQ</t>
  </si>
  <si>
    <t>전표라인순번</t>
  </si>
  <si>
    <t>타입 : 숫자
길이 : 5
필수 : N
설명 : 전표라인순번을 입력합니다.</t>
  </si>
  <si>
    <t>ROW_NO</t>
  </si>
  <si>
    <t>로우번호</t>
  </si>
  <si>
    <t>타입 : 문자
길이 : 20
필수 : Y
설명 : 관리목적상의 고유번호를 입력합니다.</t>
  </si>
  <si>
    <t>ROW_LINE_SQ</t>
  </si>
  <si>
    <t>로우라인순번</t>
  </si>
  <si>
    <t>타입 : 숫자
길이 : 5
필수 : Y
설명 : 로우넘버의 라인 순서를 숫자로 입력합니다.</t>
  </si>
  <si>
    <t>COMPANY_CD</t>
  </si>
  <si>
    <t>회사코드</t>
  </si>
  <si>
    <t>타입 : 문자
길이 : 7
필수 : Y
설명 : 전표를 작성하는 회사의 코드값을 입력합니다.</t>
  </si>
  <si>
    <t>PC_CD</t>
  </si>
  <si>
    <t>회계단위코드</t>
  </si>
  <si>
    <t>타입 : 문자
길이 : 7
필수 : Y
설명 : 전표를 작성하는 회계단위의 코드값을 입력합니다.</t>
  </si>
  <si>
    <t>GAAP_CD</t>
  </si>
  <si>
    <t>계정유형코드</t>
  </si>
  <si>
    <t>타입 : 문자
길이 : 5
필수 : Y
설명 : 해당 전표라인 계정이 속한 계정유형을 입력합니다.
(참고 MA/S00050)</t>
  </si>
  <si>
    <t>ACTG_DT</t>
  </si>
  <si>
    <t>회계일</t>
  </si>
  <si>
    <t>타입 : 문자
길이 : 8
필수 : Y
설명 : YYYYMMDD 형식의 숫자로 입력합니다.
(예. 20180601)</t>
  </si>
  <si>
    <t>WRT_DT</t>
  </si>
  <si>
    <t>작성일</t>
  </si>
  <si>
    <t>DOCU_CD</t>
  </si>
  <si>
    <t>전표유형코드</t>
  </si>
  <si>
    <t>타입 : 문자
길이 : 20
필수 : Y
설명 : 전표유형 코드값을 입력합니다.
(참고. 공통코드등록 - MA/P00620)</t>
  </si>
  <si>
    <t>WRT_DEPT_CD</t>
  </si>
  <si>
    <t>작성부서코드</t>
  </si>
  <si>
    <t>타입 : 문자
길이 : 20
필수 : Y
설명 : 전표를 작성하는 부서의 코드값을 입력합니다.</t>
  </si>
  <si>
    <t>WRT_EMP_NO</t>
  </si>
  <si>
    <t>작성사원코드</t>
  </si>
  <si>
    <t>타입 : 문자
길이 : 20
필수 : Y
설명 : 전표를 작성하는 사원의 코드값을 입력합니다.</t>
  </si>
  <si>
    <t>CNSUL_DC</t>
  </si>
  <si>
    <t>품의내역</t>
  </si>
  <si>
    <t>타입 : 문자
길이 : 100
필수 : N
설명 : 품의내역을 입력합니다.</t>
  </si>
  <si>
    <t>INSR_FG_CD</t>
  </si>
  <si>
    <t>입력구분(모듈)코드</t>
  </si>
  <si>
    <t>타입 : 문자
길이 : 5
필수 : Y
설명 : 모듈코드 입력(FCM : BM, FI, RE, T2, TH, TR TX) / (HRM : HR)</t>
  </si>
  <si>
    <t>DRCRFG_CD</t>
  </si>
  <si>
    <t>차대구분코드</t>
  </si>
  <si>
    <t>타입 : 문자
길이 : 1
필수 : Y
설명 : 차변/대변 구분 코드를 입력합니다.
(차변 - 1
대변 - 2)</t>
  </si>
  <si>
    <t>ACCT_CD</t>
  </si>
  <si>
    <t>계정코드</t>
  </si>
  <si>
    <t>타입 : 문자
길이 : 20
필수 : Y
설명 : 계정 코드를 입력합니다.
(참고. 계정등록)</t>
  </si>
  <si>
    <t>NOTE_DC</t>
  </si>
  <si>
    <t>적요</t>
  </si>
  <si>
    <t>타입 : 문자
길이 : 100
필수 : N
설명 : 적요를 입력합니다.</t>
  </si>
  <si>
    <t>DOCU_AMT</t>
  </si>
  <si>
    <t>장부금액</t>
  </si>
  <si>
    <t>타입 : 숫자
길이 : 19,4
필수 : Y
설명 : 해당 전표라인의 금액을 입력합니다.</t>
  </si>
  <si>
    <t>DOCU_AMT2</t>
  </si>
  <si>
    <t>전표외화금액</t>
  </si>
  <si>
    <t>PARTNER_CD</t>
  </si>
  <si>
    <t>거래처코드</t>
  </si>
  <si>
    <t>타입 : 문자
길이 : 20
필수 : N
설명 : 거래처 코드를 입력합니다.
(참고. 거래처등록)</t>
  </si>
  <si>
    <t>PARTNER_NM</t>
  </si>
  <si>
    <t>거래처명</t>
  </si>
  <si>
    <t>타입 : 문자
길이 : 50
필수 : N
설명 : 거래처 명을 입력합니다.</t>
  </si>
  <si>
    <t>CC_CD</t>
  </si>
  <si>
    <t>비용센터코드</t>
  </si>
  <si>
    <t>타입 : 문자
길이 : 20
필수 : N
설명 : 비용센터 코드를 입력합니다.
(참고. 비용센터등록)</t>
  </si>
  <si>
    <t>1000</t>
    <phoneticPr fontId="1" type="noConversion"/>
  </si>
  <si>
    <t>1</t>
    <phoneticPr fontId="1" type="noConversion"/>
  </si>
  <si>
    <t>1</t>
    <phoneticPr fontId="1" type="noConversion"/>
  </si>
  <si>
    <t>11</t>
    <phoneticPr fontId="1" type="noConversion"/>
  </si>
  <si>
    <t>2300</t>
    <phoneticPr fontId="1" type="noConversion"/>
  </si>
  <si>
    <t>202403242</t>
    <phoneticPr fontId="1" type="noConversion"/>
  </si>
  <si>
    <t>FI</t>
  </si>
  <si>
    <t>1048656659</t>
  </si>
  <si>
    <t>하나카드주식회사</t>
  </si>
  <si>
    <t>033138</t>
  </si>
  <si>
    <t>국민카드사</t>
  </si>
  <si>
    <t>007072</t>
  </si>
  <si>
    <t>NH카드</t>
  </si>
  <si>
    <t>037726</t>
  </si>
  <si>
    <t>비씨카드사</t>
  </si>
  <si>
    <t>015419</t>
  </si>
  <si>
    <t>현대카드㈜</t>
  </si>
  <si>
    <t>072014</t>
  </si>
  <si>
    <t>신한카드㈜</t>
  </si>
  <si>
    <t>045602</t>
  </si>
  <si>
    <t>삼성카드</t>
  </si>
  <si>
    <t>054231</t>
  </si>
  <si>
    <t>롯데카드㈜</t>
  </si>
  <si>
    <t>3500</t>
    <phoneticPr fontId="1" type="noConversion"/>
  </si>
  <si>
    <t>H02(MNG_DATA)</t>
  </si>
  <si>
    <t>외상매출금구분</t>
  </si>
  <si>
    <t>타입 : 문자(코드/명)
길이 : 100
필수 : N
설명 : 외상매출금구분 코드/명 을(를) 입력합니다.
(예. 1000/외상매출금구분명)</t>
  </si>
  <si>
    <t>11/신용</t>
    <phoneticPr fontId="1" type="noConversion"/>
  </si>
  <si>
    <t>3500</t>
    <phoneticPr fontId="1" type="noConversion"/>
  </si>
  <si>
    <t>002070</t>
    <phoneticPr fontId="3" type="noConversion"/>
  </si>
  <si>
    <t>푸디코리아㈜</t>
    <phoneticPr fontId="3" type="noConversion"/>
  </si>
  <si>
    <t>000099</t>
    <phoneticPr fontId="3" type="noConversion"/>
  </si>
  <si>
    <t>삼송빵집 청량리역점</t>
    <phoneticPr fontId="3" type="noConversion"/>
  </si>
  <si>
    <t>000099</t>
    <phoneticPr fontId="3" type="noConversion"/>
  </si>
  <si>
    <t>삼송빵집 청량리역점</t>
    <phoneticPr fontId="3" type="noConversion"/>
  </si>
  <si>
    <t>000099</t>
    <phoneticPr fontId="3" type="noConversion"/>
  </si>
  <si>
    <t>000629</t>
    <phoneticPr fontId="3" type="noConversion"/>
  </si>
  <si>
    <t>한국집</t>
    <phoneticPr fontId="3" type="noConversion"/>
  </si>
  <si>
    <t>000629</t>
    <phoneticPr fontId="3" type="noConversion"/>
  </si>
  <si>
    <t>한국집</t>
    <phoneticPr fontId="3" type="noConversion"/>
  </si>
  <si>
    <t>000715</t>
    <phoneticPr fontId="3" type="noConversion"/>
  </si>
  <si>
    <t>㈜동민수산</t>
    <phoneticPr fontId="3" type="noConversion"/>
  </si>
  <si>
    <t>000715</t>
    <phoneticPr fontId="3" type="noConversion"/>
  </si>
  <si>
    <t>㈜동민수산</t>
    <phoneticPr fontId="3" type="noConversion"/>
  </si>
  <si>
    <t>103300</t>
  </si>
  <si>
    <t>401510</t>
  </si>
  <si>
    <t>102700</t>
  </si>
  <si>
    <t>401511</t>
  </si>
  <si>
    <t>1</t>
  </si>
  <si>
    <t>2</t>
  </si>
  <si>
    <t>3500</t>
    <phoneticPr fontId="1" type="noConversion"/>
  </si>
  <si>
    <t>168405</t>
    <phoneticPr fontId="3" type="noConversion"/>
  </si>
  <si>
    <t>㈜도레도레</t>
    <phoneticPr fontId="3" type="noConversion"/>
  </si>
  <si>
    <t>168405</t>
    <phoneticPr fontId="3" type="noConversion"/>
  </si>
  <si>
    <t>㈜도레도레</t>
    <phoneticPr fontId="3" type="noConversion"/>
  </si>
  <si>
    <t>003132</t>
    <phoneticPr fontId="3" type="noConversion"/>
  </si>
  <si>
    <t>배꼽집 더 클래식</t>
    <phoneticPr fontId="3" type="noConversion"/>
  </si>
  <si>
    <t>003132</t>
    <phoneticPr fontId="3" type="noConversion"/>
  </si>
  <si>
    <t>배꼽집 더 클래식</t>
    <phoneticPr fontId="3" type="noConversion"/>
  </si>
  <si>
    <t>001786</t>
    <phoneticPr fontId="3" type="noConversion"/>
  </si>
  <si>
    <t>(주)카페드페소니아</t>
  </si>
  <si>
    <t>001786</t>
    <phoneticPr fontId="3" type="noConversion"/>
  </si>
  <si>
    <t>002730</t>
    <phoneticPr fontId="3" type="noConversion"/>
  </si>
  <si>
    <t>태극당청량리역점</t>
    <phoneticPr fontId="3" type="noConversion"/>
  </si>
  <si>
    <t>002730</t>
    <phoneticPr fontId="3" type="noConversion"/>
  </si>
  <si>
    <t>태극당청량리역점</t>
    <phoneticPr fontId="3" type="noConversion"/>
  </si>
  <si>
    <t>001534</t>
    <phoneticPr fontId="3" type="noConversion"/>
  </si>
  <si>
    <t>홍대개미 청량리역사점</t>
    <phoneticPr fontId="3" type="noConversion"/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</si>
  <si>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</si>
  <si>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</si>
  <si>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</si>
  <si>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</si>
  <si>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</si>
  <si>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</si>
  <si>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</si>
  <si>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</si>
  <si>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</si>
  <si>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</si>
  <si>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</si>
  <si>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</si>
  <si>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</si>
  <si>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</si>
  <si>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</si>
  <si>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</si>
  <si>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</si>
  <si>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</si>
  <si>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</si>
  <si>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</si>
  <si>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</si>
  <si>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</si>
  <si>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</si>
  <si>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</si>
  <si>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</si>
  <si>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</si>
  <si>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</si>
  <si>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</si>
  <si>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</si>
  <si>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</si>
  <si>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</si>
  <si>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</si>
  <si>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</si>
  <si>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</si>
  <si>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</si>
  <si>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</si>
  <si>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</si>
  <si>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</si>
  <si>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</si>
  <si>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</si>
  <si>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</si>
  <si>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</si>
  <si>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</si>
  <si>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</si>
  <si>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</si>
  <si>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</si>
  <si>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</si>
  <si>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</si>
  <si>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</si>
  <si>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</si>
  <si>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</si>
  <si>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</si>
  <si>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</si>
  <si>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</si>
  <si>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</si>
  <si>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</si>
  <si>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</si>
  <si>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</si>
  <si>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</si>
  <si>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</si>
  <si>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</si>
  <si>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</si>
  <si>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</si>
  <si>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</si>
  <si>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</si>
  <si>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</si>
  <si>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</si>
  <si>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</si>
  <si>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</si>
  <si>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</si>
  <si>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</si>
  <si>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(회계일자)</t>
    <phoneticPr fontId="1" type="noConversion"/>
  </si>
  <si>
    <t>1</t>
    <phoneticPr fontId="1" type="noConversion"/>
  </si>
  <si>
    <t>2</t>
    <phoneticPr fontId="1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</si>
  <si>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</si>
  <si>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</si>
  <si>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</si>
  <si>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</si>
  <si>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</si>
  <si>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</si>
  <si>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</si>
  <si>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</si>
  <si>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</si>
  <si>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</si>
  <si>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</si>
  <si>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</si>
  <si>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</si>
  <si>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</si>
  <si>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</si>
  <si>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</si>
  <si>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</si>
  <si>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</si>
  <si>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</si>
  <si>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</si>
  <si>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</si>
  <si>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</si>
  <si>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</si>
  <si>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</si>
  <si>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</si>
  <si>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</si>
  <si>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100</t>
  </si>
  <si>
    <t>(회계일자)청량리POS매장임대을매출</t>
    <phoneticPr fontId="3" type="noConversion"/>
  </si>
  <si>
    <t>(회계일자)청량리임대을POS매출(라멘짱)</t>
  </si>
  <si>
    <t>(회계일자)청량리임대을POS매출(삼송빵집)</t>
  </si>
  <si>
    <t>(회계일자)청량리임대을POS매출(한국집)</t>
  </si>
  <si>
    <t>(회계일자)청량리임대을POS매출(시마스시)</t>
  </si>
  <si>
    <t>(회계일자)청량리임대을POS매출(배꼽집)</t>
  </si>
  <si>
    <t>(회계일자)청량리임대을POS매출(카페드페소니아)</t>
  </si>
  <si>
    <t>(회계일자)청량리임대을POS매출(태극당 청량리역점)</t>
  </si>
  <si>
    <t>(회계일자)청량리임대을POS매출(홍대개미)</t>
  </si>
  <si>
    <t>(회계일자)청량리임대을POS매출(마호가니)</t>
  </si>
  <si>
    <t>(회계일자)청량리임대을POS매출(사보텐)</t>
    <phoneticPr fontId="1" type="noConversion"/>
  </si>
  <si>
    <t>000886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</si>
</sst>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name val="굴림체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0ACEE"/>
        <bgColor indexed="64"/>
      </patternFill>
    </fill>
    <fill>
      <patternFill patternType="solid">
        <fgColor rgb="FFB9D0FF"/>
        <bgColor indexed="64"/>
      </patternFill>
    </fill>
    <fill>
      <patternFill patternType="solid">
        <fgColor rgb="FFE8EAA8"/>
        <bgColor indexed="64"/>
      </patternFill>
    </fill>
    <fill>
      <patternFill patternType="solid">
        <fgColor rgb="FFB8C9FA"/>
        <bgColor indexed="64"/>
      </patternFill>
    </fill>
    <fill>
      <patternFill patternType="solid">
        <fgColor rgb="FFFBCDE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vertical="top" wrapText="1"/>
    </xf>
    <xf numFmtId="49" fontId="0" fillId="0" borderId="0" xfId="0" applyNumberFormat="1" applyAlignment="1"/>
    <xf numFmtId="0" fontId="0" fillId="0" borderId="0" xfId="0" applyNumberFormat="1" applyAlignment="1"/>
    <xf numFmtId="49" fontId="0" fillId="0" borderId="0" xfId="0" applyNumberFormat="1" applyAlignment="1"/>
    <xf numFmtId="49" fontId="2" fillId="0" borderId="0" xfId="0" applyNumberFormat="1" applyFont="1" applyFill="1">
      <alignment vertical="center"/>
    </xf>
    <xf numFmtId="49" fontId="4" fillId="0" borderId="0" xfId="0" applyNumberFormat="1" applyFont="1" applyFill="1" applyAlignment="1" applyProtection="1">
      <alignment vertical="center"/>
    </xf>
    <xf numFmtId="49" fontId="0" fillId="6" borderId="0" xfId="0" applyNumberFormat="1" applyFill="1" applyAlignment="1"/>
    <xf numFmtId="49" fontId="4" fillId="6" borderId="0" xfId="0" applyNumberFormat="1" applyFont="1" applyFill="1" applyAlignment="1" applyProtection="1">
      <alignment vertical="center"/>
    </xf>
    <xf numFmtId="49" fontId="0" fillId="7" borderId="0" xfId="0" applyNumberFormat="1" applyFill="1" applyAlignment="1"/>
    <xf numFmtId="0" fontId="0" fillId="7" borderId="0" xfId="0" applyNumberFormat="1" applyFill="1" applyAlignment="1"/>
    <xf numFmtId="49" fontId="4" fillId="7" borderId="0" xfId="0" applyNumberFormat="1" applyFont="1" applyFill="1" applyAlignment="1" applyProtection="1">
      <alignment vertical="center"/>
    </xf>
    <xf numFmtId="49" fontId="2" fillId="0" borderId="0" xfId="0" applyNumberFormat="1" applyFont="1" applyFill="1" applyAlignment="1">
      <alignment horizontal="right" vertical="center"/>
    </xf>
    <xf numFmtId="49" fontId="0" fillId="8" borderId="0" xfId="0" applyNumberFormat="1" applyFill="1" applyAlignment="1"/>
    <xf numFmtId="0" fontId="0" fillId="8" borderId="0" xfId="0" applyNumberFormat="1" applyFill="1" applyAlignment="1"/>
    <xf numFmtId="49" fontId="4" fillId="8" borderId="0" xfId="0" applyNumberFormat="1" applyFont="1" applyFill="1" applyAlignment="1" applyProtection="1">
      <alignment vertical="center"/>
    </xf>
    <xf numFmtId="0" fontId="0" fillId="6" borderId="0" xfId="0" applyNumberFormat="1" applyFill="1" applyAlignment="1"/>
    <xf numFmtId="49" fontId="0" fillId="9" borderId="0" xfId="0" applyNumberFormat="1" applyFill="1" applyAlignment="1"/>
    <xf numFmtId="0" fontId="0" fillId="9" borderId="0" xfId="0" applyNumberFormat="1" applyFill="1" applyAlignment="1"/>
    <xf numFmtId="49" fontId="4" fillId="9" borderId="0" xfId="0" applyNumberFormat="1" applyFont="1" applyFill="1" applyAlignment="1" applyProtection="1">
      <alignment vertical="center"/>
    </xf>
    <xf numFmtId="49" fontId="0" fillId="10" borderId="0" xfId="0" applyNumberFormat="1" applyFill="1" applyAlignment="1"/>
    <xf numFmtId="0" fontId="0" fillId="10" borderId="0" xfId="0" applyNumberFormat="1" applyFill="1" applyAlignment="1"/>
    <xf numFmtId="49" fontId="4" fillId="10" borderId="0" xfId="0" applyNumberFormat="1" applyFont="1" applyFill="1" applyAlignment="1" applyProtection="1">
      <alignment vertical="center"/>
    </xf>
    <xf numFmtId="49" fontId="0" fillId="11" borderId="0" xfId="0" applyNumberFormat="1" applyFill="1" applyAlignment="1"/>
    <xf numFmtId="0" fontId="0" fillId="11" borderId="0" xfId="0" applyNumberFormat="1" applyFill="1" applyAlignment="1"/>
    <xf numFmtId="49" fontId="4" fillId="11" borderId="0" xfId="0" applyNumberFormat="1" applyFont="1" applyFill="1" applyAlignment="1" applyProtection="1">
      <alignment vertical="center"/>
    </xf>
    <xf numFmtId="49" fontId="0" fillId="12" borderId="0" xfId="0" applyNumberFormat="1" applyFill="1" applyAlignment="1"/>
    <xf numFmtId="0" fontId="0" fillId="12" borderId="0" xfId="0" applyNumberFormat="1" applyFill="1" applyAlignment="1"/>
    <xf numFmtId="49" fontId="4" fillId="12" borderId="0" xfId="0" applyNumberFormat="1" applyFont="1" applyFill="1" applyAlignment="1" applyProtection="1">
      <alignment vertical="center"/>
    </xf>
    <xf numFmtId="49" fontId="0" fillId="13" borderId="0" xfId="0" applyNumberFormat="1" applyFill="1" applyAlignment="1"/>
    <xf numFmtId="0" fontId="0" fillId="13" borderId="0" xfId="0" applyNumberFormat="1" applyFill="1" applyAlignment="1"/>
    <xf numFmtId="49" fontId="4" fillId="13" borderId="0" xfId="0" applyNumberFormat="1" applyFont="1" applyFill="1" applyAlignment="1" applyProtection="1">
      <alignment vertical="center"/>
    </xf>
    <xf numFmtId="49" fontId="0" fillId="14" borderId="0" xfId="0" applyNumberFormat="1" applyFill="1" applyAlignment="1"/>
    <xf numFmtId="0" fontId="0" fillId="14" borderId="0" xfId="0" applyNumberFormat="1" applyFill="1" applyAlignment="1"/>
    <xf numFmtId="49" fontId="4" fillId="14" borderId="0" xfId="0" applyNumberFormat="1" applyFont="1" applyFill="1" applyAlignment="1" applyProtection="1">
      <alignment vertical="center"/>
    </xf>
    <xf numFmtId="49" fontId="0" fillId="15" borderId="0" xfId="0" applyNumberFormat="1" applyFill="1" applyAlignment="1"/>
    <xf numFmtId="0" fontId="0" fillId="15" borderId="0" xfId="0" applyNumberFormat="1" applyFill="1" applyAlignment="1"/>
    <xf numFmtId="49" fontId="2" fillId="15" borderId="0" xfId="0" applyNumberFormat="1" applyFont="1" applyFill="1" applyAlignment="1">
      <alignment horizontal="right" vertical="center"/>
    </xf>
    <xf numFmtId="49" fontId="4" fillId="15" borderId="0" xfId="0" applyNumberFormat="1" applyFont="1" applyFill="1" applyAlignment="1" applyProtection="1">
      <alignment vertical="center"/>
    </xf>
    <xf numFmtId="0" fontId="0" fillId="15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D4FC"/>
      <color rgb="FFFBCDEC"/>
      <color rgb="FFB7F3CB"/>
      <color rgb="FFDA9E26"/>
      <color rgb="FFB8C9FA"/>
      <color rgb="FFBDF5EA"/>
      <color rgb="FFE8EAA8"/>
      <color rgb="FFB9D0FF"/>
      <color rgb="FFD0AC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3"/>
  <sheetViews>
    <sheetView tabSelected="1" topLeftCell="D1" zoomScale="70" zoomScaleNormal="70" workbookViewId="0">
      <selection activeCell="L18" sqref="L18"/>
    </sheetView>
  </sheetViews>
  <sheetFormatPr defaultRowHeight="17.399999999999999" x14ac:dyDescent="0.4"/>
  <cols>
    <col min="1" max="2" width="19.5" style="5" hidden="1" customWidth="1"/>
    <col min="3" max="5" width="19.5" style="5" customWidth="1"/>
    <col min="6" max="6" width="39.19921875" style="5" customWidth="1"/>
    <col min="7" max="7" width="2.796875" style="5" customWidth="1"/>
    <col min="8" max="10" width="19.5" style="5" customWidth="1"/>
    <col min="11" max="11" width="45.19921875" style="7" customWidth="1"/>
    <col min="12" max="14" width="19.5" style="5" customWidth="1"/>
    <col min="15" max="15" width="19.5" customWidth="1"/>
    <col min="16" max="23" width="19.5" style="5" customWidth="1"/>
  </cols>
  <sheetData>
    <row r="1" spans="1:23" x14ac:dyDescent="0.4">
      <c r="A1" s="3" t="s">
        <v>0</v>
      </c>
      <c r="B1" s="3" t="s">
        <v>3</v>
      </c>
      <c r="C1" s="1" t="s">
        <v>9</v>
      </c>
      <c r="D1" s="2" t="s">
        <v>21</v>
      </c>
      <c r="E1" s="2" t="s">
        <v>24</v>
      </c>
      <c r="F1" s="3" t="s">
        <v>35</v>
      </c>
      <c r="G1" s="2" t="s">
        <v>41</v>
      </c>
      <c r="H1" s="2" t="s">
        <v>44</v>
      </c>
      <c r="I1" s="2" t="s">
        <v>50</v>
      </c>
      <c r="J1" s="2" t="s">
        <v>53</v>
      </c>
      <c r="K1" s="3" t="s">
        <v>47</v>
      </c>
      <c r="L1" s="3" t="s">
        <v>55</v>
      </c>
      <c r="M1" s="3" t="s">
        <v>58</v>
      </c>
      <c r="N1" s="3" t="s">
        <v>61</v>
      </c>
      <c r="O1" s="3" t="s">
        <v>88</v>
      </c>
      <c r="P1" s="1" t="s">
        <v>6</v>
      </c>
      <c r="Q1" s="1" t="s">
        <v>12</v>
      </c>
      <c r="R1" s="2" t="s">
        <v>15</v>
      </c>
      <c r="S1" s="2" t="s">
        <v>18</v>
      </c>
      <c r="T1" s="2" t="s">
        <v>26</v>
      </c>
      <c r="U1" s="2" t="s">
        <v>29</v>
      </c>
      <c r="V1" s="2" t="s">
        <v>32</v>
      </c>
      <c r="W1" s="2" t="s">
        <v>38</v>
      </c>
    </row>
    <row r="2" spans="1:23" x14ac:dyDescent="0.4">
      <c r="A2" s="3" t="s">
        <v>1</v>
      </c>
      <c r="B2" s="3" t="s">
        <v>4</v>
      </c>
      <c r="C2" s="1" t="s">
        <v>10</v>
      </c>
      <c r="D2" s="2" t="s">
        <v>22</v>
      </c>
      <c r="E2" s="2" t="s">
        <v>25</v>
      </c>
      <c r="F2" s="3" t="s">
        <v>36</v>
      </c>
      <c r="G2" s="2" t="s">
        <v>42</v>
      </c>
      <c r="H2" s="2" t="s">
        <v>45</v>
      </c>
      <c r="I2" s="2" t="s">
        <v>51</v>
      </c>
      <c r="J2" s="2" t="s">
        <v>54</v>
      </c>
      <c r="K2" s="3" t="s">
        <v>48</v>
      </c>
      <c r="L2" s="3" t="s">
        <v>56</v>
      </c>
      <c r="M2" s="3" t="s">
        <v>59</v>
      </c>
      <c r="N2" s="3" t="s">
        <v>62</v>
      </c>
      <c r="O2" s="3" t="s">
        <v>89</v>
      </c>
      <c r="P2" s="1" t="s">
        <v>7</v>
      </c>
      <c r="Q2" s="1" t="s">
        <v>13</v>
      </c>
      <c r="R2" s="2" t="s">
        <v>16</v>
      </c>
      <c r="S2" s="2" t="s">
        <v>19</v>
      </c>
      <c r="T2" s="2" t="s">
        <v>27</v>
      </c>
      <c r="U2" s="2" t="s">
        <v>30</v>
      </c>
      <c r="V2" s="2" t="s">
        <v>33</v>
      </c>
      <c r="W2" s="2" t="s">
        <v>39</v>
      </c>
    </row>
    <row r="3" spans="1:23" ht="32.4" customHeight="1" x14ac:dyDescent="0.4">
      <c r="A3" s="4" t="s">
        <v>2</v>
      </c>
      <c r="B3" s="4" t="s">
        <v>5</v>
      </c>
      <c r="C3" s="4" t="s">
        <v>11</v>
      </c>
      <c r="D3" s="4" t="s">
        <v>23</v>
      </c>
      <c r="E3" s="4" t="s">
        <v>23</v>
      </c>
      <c r="F3" s="4" t="s">
        <v>37</v>
      </c>
      <c r="G3" s="4" t="s">
        <v>43</v>
      </c>
      <c r="H3" s="4" t="s">
        <v>46</v>
      </c>
      <c r="I3" s="4" t="s">
        <v>52</v>
      </c>
      <c r="J3" s="4" t="s">
        <v>52</v>
      </c>
      <c r="K3" s="4" t="s">
        <v>49</v>
      </c>
      <c r="L3" s="4" t="s">
        <v>57</v>
      </c>
      <c r="M3" s="4" t="s">
        <v>60</v>
      </c>
      <c r="N3" s="4" t="s">
        <v>63</v>
      </c>
      <c r="O3" s="4" t="s">
        <v>90</v>
      </c>
      <c r="P3" s="4" t="s">
        <v>8</v>
      </c>
      <c r="Q3" s="4" t="s">
        <v>14</v>
      </c>
      <c r="R3" s="4" t="s">
        <v>17</v>
      </c>
      <c r="S3" s="4" t="s">
        <v>20</v>
      </c>
      <c r="T3" s="4" t="s">
        <v>28</v>
      </c>
      <c r="U3" s="4" t="s">
        <v>31</v>
      </c>
      <c r="V3" s="4" t="s">
        <v>34</v>
      </c>
      <c r="W3" s="4" t="s">
        <v>40</v>
      </c>
    </row>
    <row r="4" spans="1:23" x14ac:dyDescent="0.4">
      <c r="C4" s="7" t="s">
        <v>204</v>
      </c>
      <c r="D4" s="7" t="s">
        <v>203</v>
      </c>
      <c r="E4" s="6" t="str">
        <f t="shared" ref="E4:E43" si="0">TEXT(D4,"0")</f>
        <v>(회계일자)</v>
      </c>
      <c r="F4" s="8" t="s">
        <v>233</v>
      </c>
      <c r="G4" s="15" t="s">
        <v>113</v>
      </c>
      <c r="H4" s="16" t="s">
        <v>109</v>
      </c>
      <c r="I4" s="16"/>
      <c r="J4" s="17"/>
      <c r="K4" s="18" t="s">
        <v>234</v>
      </c>
      <c r="L4" s="9" t="s">
        <v>93</v>
      </c>
      <c r="M4" s="9" t="s">
        <v>94</v>
      </c>
      <c r="N4" s="7" t="s">
        <v>87</v>
      </c>
      <c r="P4" s="7" t="s">
        <v>65</v>
      </c>
      <c r="Q4" s="7" t="s">
        <v>64</v>
      </c>
      <c r="R4" s="7" t="s">
        <v>64</v>
      </c>
      <c r="S4" s="7" t="s">
        <v>66</v>
      </c>
      <c r="T4" s="7" t="s">
        <v>67</v>
      </c>
      <c r="U4" s="7" t="s">
        <v>68</v>
      </c>
      <c r="V4" s="7" t="s">
        <v>69</v>
      </c>
      <c r="W4" s="7" t="s">
        <v>70</v>
      </c>
    </row>
    <row r="5" spans="1:23" x14ac:dyDescent="0.4">
      <c r="C5" s="7" t="s">
        <v>205</v>
      </c>
      <c r="D5" s="7" t="s">
        <v>203</v>
      </c>
      <c r="E5" s="6" t="str">
        <f t="shared" si="0"/>
        <v>(회계일자)</v>
      </c>
      <c r="G5" s="15" t="s">
        <v>112</v>
      </c>
      <c r="H5" s="16" t="s">
        <v>110</v>
      </c>
      <c r="I5" s="16"/>
      <c r="J5" s="17"/>
      <c r="K5" s="18" t="s">
        <v>234</v>
      </c>
      <c r="L5" s="9" t="s">
        <v>71</v>
      </c>
      <c r="M5" s="9" t="s">
        <v>72</v>
      </c>
      <c r="O5" t="s">
        <v>91</v>
      </c>
      <c r="P5" s="7" t="s">
        <v>65</v>
      </c>
      <c r="Q5" s="7" t="s">
        <v>64</v>
      </c>
      <c r="R5" s="7" t="s">
        <v>64</v>
      </c>
      <c r="S5" s="7" t="s">
        <v>66</v>
      </c>
      <c r="T5" s="7" t="s">
        <v>67</v>
      </c>
      <c r="U5" s="7" t="s">
        <v>68</v>
      </c>
      <c r="V5" s="7" t="s">
        <v>69</v>
      </c>
      <c r="W5" s="7" t="s">
        <v>70</v>
      </c>
    </row>
    <row r="6" spans="1:23" x14ac:dyDescent="0.4">
      <c r="C6" s="7" t="s">
        <v>206</v>
      </c>
      <c r="D6" s="7" t="s">
        <v>203</v>
      </c>
      <c r="E6" s="6" t="str">
        <f t="shared" si="0"/>
        <v>(회계일자)</v>
      </c>
      <c r="G6" s="15" t="s">
        <v>112</v>
      </c>
      <c r="H6" s="16" t="s">
        <v>110</v>
      </c>
      <c r="I6" s="16"/>
      <c r="J6" s="17"/>
      <c r="K6" s="18" t="s">
        <v>234</v>
      </c>
      <c r="L6" s="9" t="s">
        <v>73</v>
      </c>
      <c r="M6" s="9" t="s">
        <v>74</v>
      </c>
      <c r="O6" t="s">
        <v>91</v>
      </c>
      <c r="P6" s="7" t="s">
        <v>65</v>
      </c>
      <c r="Q6" s="7" t="s">
        <v>64</v>
      </c>
      <c r="R6" s="7" t="s">
        <v>64</v>
      </c>
      <c r="S6" s="7" t="s">
        <v>66</v>
      </c>
      <c r="T6" s="7" t="s">
        <v>67</v>
      </c>
      <c r="U6" s="7" t="s">
        <v>68</v>
      </c>
      <c r="V6" s="7" t="s">
        <v>69</v>
      </c>
      <c r="W6" s="7" t="s">
        <v>70</v>
      </c>
    </row>
    <row r="7" spans="1:23" x14ac:dyDescent="0.4">
      <c r="C7" s="7" t="s">
        <v>207</v>
      </c>
      <c r="D7" s="7" t="s">
        <v>203</v>
      </c>
      <c r="E7" s="6" t="str">
        <f t="shared" si="0"/>
        <v>(회계일자)</v>
      </c>
      <c r="G7" s="15" t="s">
        <v>112</v>
      </c>
      <c r="H7" s="16" t="s">
        <v>110</v>
      </c>
      <c r="I7" s="16"/>
      <c r="J7" s="17"/>
      <c r="K7" s="18" t="s">
        <v>234</v>
      </c>
      <c r="L7" s="9" t="s">
        <v>75</v>
      </c>
      <c r="M7" s="9" t="s">
        <v>76</v>
      </c>
      <c r="O7" t="s">
        <v>91</v>
      </c>
      <c r="P7" s="7" t="s">
        <v>65</v>
      </c>
      <c r="Q7" s="7" t="s">
        <v>64</v>
      </c>
      <c r="R7" s="7" t="s">
        <v>64</v>
      </c>
      <c r="S7" s="7" t="s">
        <v>66</v>
      </c>
      <c r="T7" s="7" t="s">
        <v>67</v>
      </c>
      <c r="U7" s="7" t="s">
        <v>68</v>
      </c>
      <c r="V7" s="7" t="s">
        <v>69</v>
      </c>
      <c r="W7" s="7" t="s">
        <v>70</v>
      </c>
    </row>
    <row r="8" spans="1:23" x14ac:dyDescent="0.4">
      <c r="C8" s="7" t="s">
        <v>208</v>
      </c>
      <c r="D8" s="7" t="s">
        <v>203</v>
      </c>
      <c r="E8" s="6" t="str">
        <f t="shared" si="0"/>
        <v>(회계일자)</v>
      </c>
      <c r="G8" s="15" t="s">
        <v>112</v>
      </c>
      <c r="H8" s="16" t="s">
        <v>110</v>
      </c>
      <c r="I8" s="16"/>
      <c r="J8" s="17"/>
      <c r="K8" s="18" t="s">
        <v>234</v>
      </c>
      <c r="L8" s="9" t="s">
        <v>77</v>
      </c>
      <c r="M8" s="9" t="s">
        <v>78</v>
      </c>
      <c r="O8" t="s">
        <v>91</v>
      </c>
      <c r="P8" s="7" t="s">
        <v>65</v>
      </c>
      <c r="Q8" s="7" t="s">
        <v>64</v>
      </c>
      <c r="R8" s="7" t="s">
        <v>64</v>
      </c>
      <c r="S8" s="7" t="s">
        <v>66</v>
      </c>
      <c r="T8" s="7" t="s">
        <v>67</v>
      </c>
      <c r="U8" s="7" t="s">
        <v>68</v>
      </c>
      <c r="V8" s="7" t="s">
        <v>69</v>
      </c>
      <c r="W8" s="7" t="s">
        <v>70</v>
      </c>
    </row>
    <row r="9" spans="1:23" x14ac:dyDescent="0.4">
      <c r="C9" s="7" t="s">
        <v>209</v>
      </c>
      <c r="D9" s="7" t="s">
        <v>203</v>
      </c>
      <c r="E9" s="6" t="str">
        <f t="shared" si="0"/>
        <v>(회계일자)</v>
      </c>
      <c r="G9" s="15" t="s">
        <v>112</v>
      </c>
      <c r="H9" s="16" t="s">
        <v>110</v>
      </c>
      <c r="I9" s="16"/>
      <c r="J9" s="17"/>
      <c r="K9" s="18" t="s">
        <v>234</v>
      </c>
      <c r="L9" s="9" t="s">
        <v>79</v>
      </c>
      <c r="M9" s="9" t="s">
        <v>80</v>
      </c>
      <c r="O9" t="s">
        <v>91</v>
      </c>
      <c r="P9" s="7" t="s">
        <v>65</v>
      </c>
      <c r="Q9" s="7" t="s">
        <v>64</v>
      </c>
      <c r="R9" s="7" t="s">
        <v>64</v>
      </c>
      <c r="S9" s="7" t="s">
        <v>66</v>
      </c>
      <c r="T9" s="7" t="s">
        <v>67</v>
      </c>
      <c r="U9" s="7" t="s">
        <v>68</v>
      </c>
      <c r="V9" s="7" t="s">
        <v>69</v>
      </c>
      <c r="W9" s="7" t="s">
        <v>70</v>
      </c>
    </row>
    <row r="10" spans="1:23" x14ac:dyDescent="0.4">
      <c r="C10" s="7" t="s">
        <v>210</v>
      </c>
      <c r="D10" s="7" t="s">
        <v>203</v>
      </c>
      <c r="E10" s="6" t="str">
        <f t="shared" si="0"/>
        <v>(회계일자)</v>
      </c>
      <c r="G10" s="15" t="s">
        <v>112</v>
      </c>
      <c r="H10" s="16" t="s">
        <v>110</v>
      </c>
      <c r="I10" s="16"/>
      <c r="J10" s="17"/>
      <c r="K10" s="18" t="s">
        <v>234</v>
      </c>
      <c r="L10" s="9" t="s">
        <v>81</v>
      </c>
      <c r="M10" s="9" t="s">
        <v>82</v>
      </c>
      <c r="O10" t="s">
        <v>91</v>
      </c>
      <c r="P10" s="7" t="s">
        <v>65</v>
      </c>
      <c r="Q10" s="7" t="s">
        <v>64</v>
      </c>
      <c r="R10" s="7" t="s">
        <v>64</v>
      </c>
      <c r="S10" s="7" t="s">
        <v>66</v>
      </c>
      <c r="T10" s="7" t="s">
        <v>67</v>
      </c>
      <c r="U10" s="7" t="s">
        <v>68</v>
      </c>
      <c r="V10" s="7" t="s">
        <v>69</v>
      </c>
      <c r="W10" s="7" t="s">
        <v>70</v>
      </c>
    </row>
    <row r="11" spans="1:23" x14ac:dyDescent="0.4">
      <c r="C11" s="7" t="s">
        <v>211</v>
      </c>
      <c r="D11" s="7" t="s">
        <v>203</v>
      </c>
      <c r="E11" s="6" t="str">
        <f t="shared" si="0"/>
        <v>(회계일자)</v>
      </c>
      <c r="G11" s="15" t="s">
        <v>112</v>
      </c>
      <c r="H11" s="16" t="s">
        <v>110</v>
      </c>
      <c r="I11" s="16"/>
      <c r="J11" s="17"/>
      <c r="K11" s="18" t="s">
        <v>234</v>
      </c>
      <c r="L11" s="9" t="s">
        <v>83</v>
      </c>
      <c r="M11" s="9" t="s">
        <v>84</v>
      </c>
      <c r="O11" t="s">
        <v>91</v>
      </c>
      <c r="P11" s="7" t="s">
        <v>65</v>
      </c>
      <c r="Q11" s="7" t="s">
        <v>64</v>
      </c>
      <c r="R11" s="7" t="s">
        <v>64</v>
      </c>
      <c r="S11" s="7" t="s">
        <v>66</v>
      </c>
      <c r="T11" s="7" t="s">
        <v>67</v>
      </c>
      <c r="U11" s="7" t="s">
        <v>68</v>
      </c>
      <c r="V11" s="7" t="s">
        <v>69</v>
      </c>
      <c r="W11" s="7" t="s">
        <v>70</v>
      </c>
    </row>
    <row r="12" spans="1:23" x14ac:dyDescent="0.4">
      <c r="C12" s="7" t="s">
        <v>212</v>
      </c>
      <c r="D12" s="7" t="s">
        <v>203</v>
      </c>
      <c r="E12" s="6" t="str">
        <f t="shared" si="0"/>
        <v>(회계일자)</v>
      </c>
      <c r="G12" s="15" t="s">
        <v>112</v>
      </c>
      <c r="H12" s="16" t="s">
        <v>110</v>
      </c>
      <c r="I12" s="16"/>
      <c r="J12" s="17"/>
      <c r="K12" s="18" t="s">
        <v>234</v>
      </c>
      <c r="L12" s="9" t="s">
        <v>85</v>
      </c>
      <c r="M12" s="9" t="s">
        <v>86</v>
      </c>
      <c r="O12" t="s">
        <v>91</v>
      </c>
      <c r="P12" s="7" t="s">
        <v>65</v>
      </c>
      <c r="Q12" s="7" t="s">
        <v>64</v>
      </c>
      <c r="R12" s="7" t="s">
        <v>64</v>
      </c>
      <c r="S12" s="7" t="s">
        <v>66</v>
      </c>
      <c r="T12" s="7" t="s">
        <v>67</v>
      </c>
      <c r="U12" s="7" t="s">
        <v>68</v>
      </c>
      <c r="V12" s="7" t="s">
        <v>69</v>
      </c>
      <c r="W12" s="7" t="s">
        <v>70</v>
      </c>
    </row>
    <row r="13" spans="1:23" x14ac:dyDescent="0.4">
      <c r="C13" s="7" t="s">
        <v>213</v>
      </c>
      <c r="D13" s="7" t="s">
        <v>203</v>
      </c>
      <c r="E13" s="6" t="str">
        <f t="shared" si="0"/>
        <v>(회계일자)</v>
      </c>
      <c r="G13" s="15" t="s">
        <v>113</v>
      </c>
      <c r="H13" s="10" t="s">
        <v>109</v>
      </c>
      <c r="I13" s="10"/>
      <c r="J13" s="19"/>
      <c r="K13" s="11" t="s">
        <v>235</v>
      </c>
      <c r="L13" s="9" t="s">
        <v>95</v>
      </c>
      <c r="M13" s="9" t="s">
        <v>96</v>
      </c>
      <c r="N13" s="7" t="s">
        <v>92</v>
      </c>
      <c r="P13" s="7" t="s">
        <v>65</v>
      </c>
      <c r="Q13" s="7" t="s">
        <v>64</v>
      </c>
      <c r="R13" s="7" t="s">
        <v>64</v>
      </c>
      <c r="S13" s="7" t="s">
        <v>66</v>
      </c>
      <c r="T13" s="7" t="s">
        <v>67</v>
      </c>
      <c r="U13" s="7" t="s">
        <v>68</v>
      </c>
      <c r="V13" s="7" t="s">
        <v>69</v>
      </c>
      <c r="W13" s="7" t="s">
        <v>70</v>
      </c>
    </row>
    <row r="14" spans="1:23" x14ac:dyDescent="0.4">
      <c r="C14" s="7" t="s">
        <v>214</v>
      </c>
      <c r="D14" s="7" t="s">
        <v>203</v>
      </c>
      <c r="E14" s="6" t="str">
        <f t="shared" si="0"/>
        <v>(회계일자)</v>
      </c>
      <c r="G14" s="15" t="s">
        <v>112</v>
      </c>
      <c r="H14" s="10" t="s">
        <v>108</v>
      </c>
      <c r="I14" s="10"/>
      <c r="J14" s="19"/>
      <c r="K14" s="11" t="s">
        <v>235</v>
      </c>
      <c r="L14" s="9" t="s">
        <v>97</v>
      </c>
      <c r="M14" s="9" t="s">
        <v>98</v>
      </c>
      <c r="N14" s="7"/>
      <c r="P14" s="7" t="s">
        <v>65</v>
      </c>
      <c r="Q14" s="7" t="s">
        <v>64</v>
      </c>
      <c r="R14" s="7" t="s">
        <v>64</v>
      </c>
      <c r="S14" s="7" t="s">
        <v>66</v>
      </c>
      <c r="T14" s="7" t="s">
        <v>67</v>
      </c>
      <c r="U14" s="7" t="s">
        <v>68</v>
      </c>
      <c r="V14" s="7" t="s">
        <v>69</v>
      </c>
      <c r="W14" s="7" t="s">
        <v>70</v>
      </c>
    </row>
    <row r="15" spans="1:23" x14ac:dyDescent="0.4">
      <c r="C15" s="7" t="s">
        <v>215</v>
      </c>
      <c r="D15" s="7" t="s">
        <v>203</v>
      </c>
      <c r="E15" s="6" t="str">
        <f t="shared" si="0"/>
        <v>(회계일자)</v>
      </c>
      <c r="G15" s="15" t="s">
        <v>112</v>
      </c>
      <c r="H15" s="10" t="s">
        <v>110</v>
      </c>
      <c r="I15" s="10"/>
      <c r="J15" s="19"/>
      <c r="K15" s="11" t="s">
        <v>235</v>
      </c>
      <c r="L15" s="9" t="s">
        <v>71</v>
      </c>
      <c r="M15" s="9" t="s">
        <v>72</v>
      </c>
      <c r="O15" t="s">
        <v>91</v>
      </c>
      <c r="P15" s="7" t="s">
        <v>65</v>
      </c>
      <c r="Q15" s="7" t="s">
        <v>64</v>
      </c>
      <c r="R15" s="7" t="s">
        <v>64</v>
      </c>
      <c r="S15" s="7" t="s">
        <v>66</v>
      </c>
      <c r="T15" s="7" t="s">
        <v>67</v>
      </c>
      <c r="U15" s="7" t="s">
        <v>68</v>
      </c>
      <c r="V15" s="7" t="s">
        <v>69</v>
      </c>
      <c r="W15" s="7" t="s">
        <v>70</v>
      </c>
    </row>
    <row r="16" spans="1:23" x14ac:dyDescent="0.4">
      <c r="C16" s="7" t="s">
        <v>216</v>
      </c>
      <c r="D16" s="7" t="s">
        <v>203</v>
      </c>
      <c r="E16" s="6" t="str">
        <f t="shared" si="0"/>
        <v>(회계일자)</v>
      </c>
      <c r="G16" s="15" t="s">
        <v>112</v>
      </c>
      <c r="H16" s="10" t="s">
        <v>110</v>
      </c>
      <c r="I16" s="10"/>
      <c r="J16" s="19"/>
      <c r="K16" s="11" t="s">
        <v>235</v>
      </c>
      <c r="L16" s="9" t="s">
        <v>73</v>
      </c>
      <c r="M16" s="9" t="s">
        <v>74</v>
      </c>
      <c r="O16" t="s">
        <v>91</v>
      </c>
      <c r="P16" s="7" t="s">
        <v>65</v>
      </c>
      <c r="Q16" s="7" t="s">
        <v>64</v>
      </c>
      <c r="R16" s="7" t="s">
        <v>64</v>
      </c>
      <c r="S16" s="7" t="s">
        <v>66</v>
      </c>
      <c r="T16" s="7" t="s">
        <v>67</v>
      </c>
      <c r="U16" s="7" t="s">
        <v>68</v>
      </c>
      <c r="V16" s="7" t="s">
        <v>69</v>
      </c>
      <c r="W16" s="7" t="s">
        <v>70</v>
      </c>
    </row>
    <row r="17" spans="3:23" x14ac:dyDescent="0.4">
      <c r="C17" s="7" t="s">
        <v>217</v>
      </c>
      <c r="D17" s="7" t="s">
        <v>203</v>
      </c>
      <c r="E17" s="6" t="str">
        <f t="shared" si="0"/>
        <v>(회계일자)</v>
      </c>
      <c r="G17" s="15" t="s">
        <v>112</v>
      </c>
      <c r="H17" s="10" t="s">
        <v>110</v>
      </c>
      <c r="I17" s="10"/>
      <c r="J17" s="19"/>
      <c r="K17" s="11" t="s">
        <v>235</v>
      </c>
      <c r="L17" s="9" t="s">
        <v>75</v>
      </c>
      <c r="M17" s="9" t="s">
        <v>76</v>
      </c>
      <c r="O17" t="s">
        <v>91</v>
      </c>
      <c r="P17" s="7" t="s">
        <v>65</v>
      </c>
      <c r="Q17" s="7" t="s">
        <v>64</v>
      </c>
      <c r="R17" s="7" t="s">
        <v>64</v>
      </c>
      <c r="S17" s="7" t="s">
        <v>66</v>
      </c>
      <c r="T17" s="7" t="s">
        <v>67</v>
      </c>
      <c r="U17" s="7" t="s">
        <v>68</v>
      </c>
      <c r="V17" s="7" t="s">
        <v>69</v>
      </c>
      <c r="W17" s="7" t="s">
        <v>70</v>
      </c>
    </row>
    <row r="18" spans="3:23" x14ac:dyDescent="0.4">
      <c r="C18" s="7" t="s">
        <v>218</v>
      </c>
      <c r="D18" s="7" t="s">
        <v>203</v>
      </c>
      <c r="E18" s="6" t="str">
        <f t="shared" si="0"/>
        <v>(회계일자)</v>
      </c>
      <c r="G18" s="15" t="s">
        <v>112</v>
      </c>
      <c r="H18" s="10" t="s">
        <v>110</v>
      </c>
      <c r="I18" s="10"/>
      <c r="J18" s="19"/>
      <c r="K18" s="11" t="s">
        <v>235</v>
      </c>
      <c r="L18" s="9" t="s">
        <v>77</v>
      </c>
      <c r="M18" s="9" t="s">
        <v>78</v>
      </c>
      <c r="O18" t="s">
        <v>91</v>
      </c>
      <c r="P18" s="7" t="s">
        <v>65</v>
      </c>
      <c r="Q18" s="7" t="s">
        <v>64</v>
      </c>
      <c r="R18" s="7" t="s">
        <v>64</v>
      </c>
      <c r="S18" s="7" t="s">
        <v>66</v>
      </c>
      <c r="T18" s="7" t="s">
        <v>67</v>
      </c>
      <c r="U18" s="7" t="s">
        <v>68</v>
      </c>
      <c r="V18" s="7" t="s">
        <v>69</v>
      </c>
      <c r="W18" s="7" t="s">
        <v>70</v>
      </c>
    </row>
    <row r="19" spans="3:23" x14ac:dyDescent="0.4">
      <c r="C19" s="7" t="s">
        <v>219</v>
      </c>
      <c r="D19" s="7" t="s">
        <v>203</v>
      </c>
      <c r="E19" s="6" t="str">
        <f t="shared" si="0"/>
        <v>(회계일자)</v>
      </c>
      <c r="G19" s="15" t="s">
        <v>112</v>
      </c>
      <c r="H19" s="10" t="s">
        <v>110</v>
      </c>
      <c r="I19" s="10"/>
      <c r="J19" s="19"/>
      <c r="K19" s="11" t="s">
        <v>235</v>
      </c>
      <c r="L19" s="9" t="s">
        <v>79</v>
      </c>
      <c r="M19" s="9" t="s">
        <v>80</v>
      </c>
      <c r="O19" t="s">
        <v>91</v>
      </c>
      <c r="P19" s="7" t="s">
        <v>65</v>
      </c>
      <c r="Q19" s="7" t="s">
        <v>64</v>
      </c>
      <c r="R19" s="7" t="s">
        <v>64</v>
      </c>
      <c r="S19" s="7" t="s">
        <v>66</v>
      </c>
      <c r="T19" s="7" t="s">
        <v>67</v>
      </c>
      <c r="U19" s="7" t="s">
        <v>68</v>
      </c>
      <c r="V19" s="7" t="s">
        <v>69</v>
      </c>
      <c r="W19" s="7" t="s">
        <v>70</v>
      </c>
    </row>
    <row r="20" spans="3:23" x14ac:dyDescent="0.4">
      <c r="C20" s="7" t="s">
        <v>220</v>
      </c>
      <c r="D20" s="7" t="s">
        <v>203</v>
      </c>
      <c r="E20" s="6" t="str">
        <f t="shared" si="0"/>
        <v>(회계일자)</v>
      </c>
      <c r="G20" s="15" t="s">
        <v>112</v>
      </c>
      <c r="H20" s="10" t="s">
        <v>110</v>
      </c>
      <c r="I20" s="10"/>
      <c r="J20" s="19"/>
      <c r="K20" s="11" t="s">
        <v>235</v>
      </c>
      <c r="L20" s="9" t="s">
        <v>81</v>
      </c>
      <c r="M20" s="9" t="s">
        <v>82</v>
      </c>
      <c r="O20" t="s">
        <v>91</v>
      </c>
      <c r="P20" s="7" t="s">
        <v>65</v>
      </c>
      <c r="Q20" s="7" t="s">
        <v>64</v>
      </c>
      <c r="R20" s="7" t="s">
        <v>64</v>
      </c>
      <c r="S20" s="7" t="s">
        <v>66</v>
      </c>
      <c r="T20" s="7" t="s">
        <v>67</v>
      </c>
      <c r="U20" s="7" t="s">
        <v>68</v>
      </c>
      <c r="V20" s="7" t="s">
        <v>69</v>
      </c>
      <c r="W20" s="7" t="s">
        <v>70</v>
      </c>
    </row>
    <row r="21" spans="3:23" x14ac:dyDescent="0.4">
      <c r="C21" s="7" t="s">
        <v>221</v>
      </c>
      <c r="D21" s="7" t="s">
        <v>203</v>
      </c>
      <c r="E21" s="6" t="str">
        <f t="shared" si="0"/>
        <v>(회계일자)</v>
      </c>
      <c r="G21" s="15" t="s">
        <v>112</v>
      </c>
      <c r="H21" s="10" t="s">
        <v>110</v>
      </c>
      <c r="I21" s="10"/>
      <c r="J21" s="19"/>
      <c r="K21" s="11" t="s">
        <v>235</v>
      </c>
      <c r="L21" s="9" t="s">
        <v>83</v>
      </c>
      <c r="M21" s="9" t="s">
        <v>84</v>
      </c>
      <c r="O21" t="s">
        <v>91</v>
      </c>
      <c r="P21" s="7" t="s">
        <v>65</v>
      </c>
      <c r="Q21" s="7" t="s">
        <v>64</v>
      </c>
      <c r="R21" s="7" t="s">
        <v>64</v>
      </c>
      <c r="S21" s="7" t="s">
        <v>66</v>
      </c>
      <c r="T21" s="7" t="s">
        <v>67</v>
      </c>
      <c r="U21" s="7" t="s">
        <v>68</v>
      </c>
      <c r="V21" s="7" t="s">
        <v>69</v>
      </c>
      <c r="W21" s="7" t="s">
        <v>70</v>
      </c>
    </row>
    <row r="22" spans="3:23" x14ac:dyDescent="0.4">
      <c r="C22" s="7" t="s">
        <v>132</v>
      </c>
      <c r="D22" s="7" t="s">
        <v>203</v>
      </c>
      <c r="E22" s="6" t="str">
        <f t="shared" si="0"/>
        <v>(회계일자)</v>
      </c>
      <c r="G22" s="15" t="s">
        <v>112</v>
      </c>
      <c r="H22" s="10" t="s">
        <v>110</v>
      </c>
      <c r="I22" s="10"/>
      <c r="J22" s="19"/>
      <c r="K22" s="11" t="s">
        <v>235</v>
      </c>
      <c r="L22" s="9" t="s">
        <v>85</v>
      </c>
      <c r="M22" s="9" t="s">
        <v>86</v>
      </c>
      <c r="O22" t="s">
        <v>91</v>
      </c>
      <c r="P22" s="7" t="s">
        <v>65</v>
      </c>
      <c r="Q22" s="7" t="s">
        <v>64</v>
      </c>
      <c r="R22" s="7" t="s">
        <v>64</v>
      </c>
      <c r="S22" s="7" t="s">
        <v>66</v>
      </c>
      <c r="T22" s="7" t="s">
        <v>67</v>
      </c>
      <c r="U22" s="7" t="s">
        <v>68</v>
      </c>
      <c r="V22" s="7" t="s">
        <v>69</v>
      </c>
      <c r="W22" s="7" t="s">
        <v>70</v>
      </c>
    </row>
    <row r="23" spans="3:23" x14ac:dyDescent="0.4">
      <c r="C23" s="7" t="s">
        <v>133</v>
      </c>
      <c r="D23" s="7" t="s">
        <v>203</v>
      </c>
      <c r="E23" s="6" t="str">
        <f t="shared" si="0"/>
        <v>(회계일자)</v>
      </c>
      <c r="G23" s="15" t="s">
        <v>113</v>
      </c>
      <c r="H23" s="10" t="s">
        <v>111</v>
      </c>
      <c r="I23" s="10"/>
      <c r="J23" s="19"/>
      <c r="K23" s="11" t="s">
        <v>235</v>
      </c>
      <c r="L23" s="9" t="s">
        <v>99</v>
      </c>
      <c r="M23" s="9" t="s">
        <v>98</v>
      </c>
      <c r="N23" s="7" t="s">
        <v>87</v>
      </c>
      <c r="P23" s="7" t="s">
        <v>65</v>
      </c>
      <c r="Q23" s="7" t="s">
        <v>64</v>
      </c>
      <c r="R23" s="7" t="s">
        <v>64</v>
      </c>
      <c r="S23" s="7" t="s">
        <v>66</v>
      </c>
      <c r="T23" s="7" t="s">
        <v>67</v>
      </c>
      <c r="U23" s="7" t="s">
        <v>68</v>
      </c>
      <c r="V23" s="7" t="s">
        <v>69</v>
      </c>
      <c r="W23" s="7" t="s">
        <v>70</v>
      </c>
    </row>
    <row r="24" spans="3:23" x14ac:dyDescent="0.4">
      <c r="C24" s="7" t="s">
        <v>134</v>
      </c>
      <c r="D24" s="7" t="s">
        <v>203</v>
      </c>
      <c r="E24" s="6" t="str">
        <f t="shared" si="0"/>
        <v>(회계일자)</v>
      </c>
      <c r="G24" s="15" t="s">
        <v>113</v>
      </c>
      <c r="H24" s="12" t="s">
        <v>109</v>
      </c>
      <c r="I24" s="12"/>
      <c r="J24" s="13"/>
      <c r="K24" s="14" t="s">
        <v>236</v>
      </c>
      <c r="L24" s="9" t="s">
        <v>100</v>
      </c>
      <c r="M24" s="9" t="s">
        <v>101</v>
      </c>
      <c r="N24" s="7" t="s">
        <v>87</v>
      </c>
      <c r="P24" s="7" t="s">
        <v>65</v>
      </c>
      <c r="Q24" s="7" t="s">
        <v>64</v>
      </c>
      <c r="R24" s="7" t="s">
        <v>64</v>
      </c>
      <c r="S24" s="7" t="s">
        <v>66</v>
      </c>
      <c r="T24" s="7" t="s">
        <v>67</v>
      </c>
      <c r="U24" s="7" t="s">
        <v>68</v>
      </c>
      <c r="V24" s="7" t="s">
        <v>69</v>
      </c>
      <c r="W24" s="7" t="s">
        <v>70</v>
      </c>
    </row>
    <row r="25" spans="3:23" x14ac:dyDescent="0.4">
      <c r="C25" s="7" t="s">
        <v>135</v>
      </c>
      <c r="D25" s="7" t="s">
        <v>203</v>
      </c>
      <c r="E25" s="6" t="str">
        <f t="shared" si="0"/>
        <v>(회계일자)</v>
      </c>
      <c r="G25" s="15" t="s">
        <v>112</v>
      </c>
      <c r="H25" s="12" t="s">
        <v>108</v>
      </c>
      <c r="I25" s="12"/>
      <c r="J25" s="13"/>
      <c r="K25" s="14" t="s">
        <v>236</v>
      </c>
      <c r="L25" s="9" t="s">
        <v>102</v>
      </c>
      <c r="M25" s="9" t="s">
        <v>103</v>
      </c>
      <c r="N25" s="7"/>
      <c r="P25" s="7" t="s">
        <v>65</v>
      </c>
      <c r="Q25" s="7" t="s">
        <v>64</v>
      </c>
      <c r="R25" s="7" t="s">
        <v>64</v>
      </c>
      <c r="S25" s="7" t="s">
        <v>66</v>
      </c>
      <c r="T25" s="7" t="s">
        <v>67</v>
      </c>
      <c r="U25" s="7" t="s">
        <v>68</v>
      </c>
      <c r="V25" s="7" t="s">
        <v>69</v>
      </c>
      <c r="W25" s="7" t="s">
        <v>70</v>
      </c>
    </row>
    <row r="26" spans="3:23" x14ac:dyDescent="0.4">
      <c r="C26" s="7" t="s">
        <v>136</v>
      </c>
      <c r="D26" s="7" t="s">
        <v>203</v>
      </c>
      <c r="E26" s="6" t="str">
        <f t="shared" si="0"/>
        <v>(회계일자)</v>
      </c>
      <c r="G26" s="15" t="s">
        <v>112</v>
      </c>
      <c r="H26" s="12" t="s">
        <v>110</v>
      </c>
      <c r="I26" s="12"/>
      <c r="J26" s="13"/>
      <c r="K26" s="14" t="s">
        <v>236</v>
      </c>
      <c r="L26" s="9" t="s">
        <v>71</v>
      </c>
      <c r="M26" s="9" t="s">
        <v>72</v>
      </c>
      <c r="O26" t="s">
        <v>91</v>
      </c>
      <c r="P26" s="7" t="s">
        <v>65</v>
      </c>
      <c r="Q26" s="7" t="s">
        <v>64</v>
      </c>
      <c r="R26" s="7" t="s">
        <v>64</v>
      </c>
      <c r="S26" s="7" t="s">
        <v>66</v>
      </c>
      <c r="T26" s="7" t="s">
        <v>67</v>
      </c>
      <c r="U26" s="7" t="s">
        <v>68</v>
      </c>
      <c r="V26" s="7" t="s">
        <v>69</v>
      </c>
      <c r="W26" s="7" t="s">
        <v>70</v>
      </c>
    </row>
    <row r="27" spans="3:23" x14ac:dyDescent="0.4">
      <c r="C27" s="7" t="s">
        <v>137</v>
      </c>
      <c r="D27" s="7" t="s">
        <v>203</v>
      </c>
      <c r="E27" s="6" t="str">
        <f t="shared" si="0"/>
        <v>(회계일자)</v>
      </c>
      <c r="G27" s="15" t="s">
        <v>112</v>
      </c>
      <c r="H27" s="12" t="s">
        <v>110</v>
      </c>
      <c r="I27" s="12"/>
      <c r="J27" s="13"/>
      <c r="K27" s="14" t="s">
        <v>236</v>
      </c>
      <c r="L27" s="9" t="s">
        <v>73</v>
      </c>
      <c r="M27" s="9" t="s">
        <v>74</v>
      </c>
      <c r="O27" t="s">
        <v>91</v>
      </c>
      <c r="P27" s="7" t="s">
        <v>65</v>
      </c>
      <c r="Q27" s="7" t="s">
        <v>64</v>
      </c>
      <c r="R27" s="7" t="s">
        <v>64</v>
      </c>
      <c r="S27" s="7" t="s">
        <v>66</v>
      </c>
      <c r="T27" s="7" t="s">
        <v>67</v>
      </c>
      <c r="U27" s="7" t="s">
        <v>68</v>
      </c>
      <c r="V27" s="7" t="s">
        <v>69</v>
      </c>
      <c r="W27" s="7" t="s">
        <v>70</v>
      </c>
    </row>
    <row r="28" spans="3:23" x14ac:dyDescent="0.4">
      <c r="C28" s="7" t="s">
        <v>138</v>
      </c>
      <c r="D28" s="7" t="s">
        <v>203</v>
      </c>
      <c r="E28" s="6" t="str">
        <f t="shared" si="0"/>
        <v>(회계일자)</v>
      </c>
      <c r="G28" s="15" t="s">
        <v>112</v>
      </c>
      <c r="H28" s="12" t="s">
        <v>110</v>
      </c>
      <c r="I28" s="12"/>
      <c r="J28" s="13"/>
      <c r="K28" s="14" t="s">
        <v>236</v>
      </c>
      <c r="L28" s="9" t="s">
        <v>75</v>
      </c>
      <c r="M28" s="9" t="s">
        <v>76</v>
      </c>
      <c r="O28" t="s">
        <v>91</v>
      </c>
      <c r="P28" s="7" t="s">
        <v>65</v>
      </c>
      <c r="Q28" s="7" t="s">
        <v>64</v>
      </c>
      <c r="R28" s="7" t="s">
        <v>64</v>
      </c>
      <c r="S28" s="7" t="s">
        <v>66</v>
      </c>
      <c r="T28" s="7" t="s">
        <v>67</v>
      </c>
      <c r="U28" s="7" t="s">
        <v>68</v>
      </c>
      <c r="V28" s="7" t="s">
        <v>69</v>
      </c>
      <c r="W28" s="7" t="s">
        <v>70</v>
      </c>
    </row>
    <row r="29" spans="3:23" x14ac:dyDescent="0.4">
      <c r="C29" s="7" t="s">
        <v>139</v>
      </c>
      <c r="D29" s="7" t="s">
        <v>203</v>
      </c>
      <c r="E29" s="6" t="str">
        <f t="shared" si="0"/>
        <v>(회계일자)</v>
      </c>
      <c r="G29" s="15" t="s">
        <v>112</v>
      </c>
      <c r="H29" s="12" t="s">
        <v>110</v>
      </c>
      <c r="I29" s="12"/>
      <c r="J29" s="13"/>
      <c r="K29" s="14" t="s">
        <v>236</v>
      </c>
      <c r="L29" s="9" t="s">
        <v>77</v>
      </c>
      <c r="M29" s="9" t="s">
        <v>78</v>
      </c>
      <c r="O29" t="s">
        <v>91</v>
      </c>
      <c r="P29" s="7" t="s">
        <v>65</v>
      </c>
      <c r="Q29" s="7" t="s">
        <v>64</v>
      </c>
      <c r="R29" s="7" t="s">
        <v>64</v>
      </c>
      <c r="S29" s="7" t="s">
        <v>66</v>
      </c>
      <c r="T29" s="7" t="s">
        <v>67</v>
      </c>
      <c r="U29" s="7" t="s">
        <v>68</v>
      </c>
      <c r="V29" s="7" t="s">
        <v>69</v>
      </c>
      <c r="W29" s="7" t="s">
        <v>70</v>
      </c>
    </row>
    <row r="30" spans="3:23" x14ac:dyDescent="0.4">
      <c r="C30" s="7" t="s">
        <v>140</v>
      </c>
      <c r="D30" s="7" t="s">
        <v>203</v>
      </c>
      <c r="E30" s="6" t="str">
        <f t="shared" si="0"/>
        <v>(회계일자)</v>
      </c>
      <c r="G30" s="15" t="s">
        <v>112</v>
      </c>
      <c r="H30" s="12" t="s">
        <v>110</v>
      </c>
      <c r="I30" s="12"/>
      <c r="J30" s="13"/>
      <c r="K30" s="14" t="s">
        <v>236</v>
      </c>
      <c r="L30" s="9" t="s">
        <v>79</v>
      </c>
      <c r="M30" s="9" t="s">
        <v>80</v>
      </c>
      <c r="O30" t="s">
        <v>91</v>
      </c>
      <c r="P30" s="7" t="s">
        <v>65</v>
      </c>
      <c r="Q30" s="7" t="s">
        <v>64</v>
      </c>
      <c r="R30" s="7" t="s">
        <v>64</v>
      </c>
      <c r="S30" s="7" t="s">
        <v>66</v>
      </c>
      <c r="T30" s="7" t="s">
        <v>67</v>
      </c>
      <c r="U30" s="7" t="s">
        <v>68</v>
      </c>
      <c r="V30" s="7" t="s">
        <v>69</v>
      </c>
      <c r="W30" s="7" t="s">
        <v>70</v>
      </c>
    </row>
    <row r="31" spans="3:23" x14ac:dyDescent="0.4">
      <c r="C31" s="7" t="s">
        <v>141</v>
      </c>
      <c r="D31" s="7" t="s">
        <v>203</v>
      </c>
      <c r="E31" s="6" t="str">
        <f t="shared" si="0"/>
        <v>(회계일자)</v>
      </c>
      <c r="G31" s="15" t="s">
        <v>112</v>
      </c>
      <c r="H31" s="12" t="s">
        <v>110</v>
      </c>
      <c r="I31" s="12"/>
      <c r="J31" s="13"/>
      <c r="K31" s="14" t="s">
        <v>236</v>
      </c>
      <c r="L31" s="9" t="s">
        <v>81</v>
      </c>
      <c r="M31" s="9" t="s">
        <v>82</v>
      </c>
      <c r="O31" t="s">
        <v>91</v>
      </c>
      <c r="P31" s="7" t="s">
        <v>65</v>
      </c>
      <c r="Q31" s="7" t="s">
        <v>64</v>
      </c>
      <c r="R31" s="7" t="s">
        <v>64</v>
      </c>
      <c r="S31" s="7" t="s">
        <v>66</v>
      </c>
      <c r="T31" s="7" t="s">
        <v>67</v>
      </c>
      <c r="U31" s="7" t="s">
        <v>68</v>
      </c>
      <c r="V31" s="7" t="s">
        <v>69</v>
      </c>
      <c r="W31" s="7" t="s">
        <v>70</v>
      </c>
    </row>
    <row r="32" spans="3:23" x14ac:dyDescent="0.4">
      <c r="C32" s="7" t="s">
        <v>142</v>
      </c>
      <c r="D32" s="7" t="s">
        <v>203</v>
      </c>
      <c r="E32" s="6" t="str">
        <f t="shared" si="0"/>
        <v>(회계일자)</v>
      </c>
      <c r="G32" s="15" t="s">
        <v>112</v>
      </c>
      <c r="H32" s="12" t="s">
        <v>110</v>
      </c>
      <c r="I32" s="12"/>
      <c r="J32" s="13"/>
      <c r="K32" s="14" t="s">
        <v>236</v>
      </c>
      <c r="L32" s="9" t="s">
        <v>83</v>
      </c>
      <c r="M32" s="9" t="s">
        <v>84</v>
      </c>
      <c r="O32" t="s">
        <v>91</v>
      </c>
      <c r="P32" s="7" t="s">
        <v>65</v>
      </c>
      <c r="Q32" s="7" t="s">
        <v>64</v>
      </c>
      <c r="R32" s="7" t="s">
        <v>64</v>
      </c>
      <c r="S32" s="7" t="s">
        <v>66</v>
      </c>
      <c r="T32" s="7" t="s">
        <v>67</v>
      </c>
      <c r="U32" s="7" t="s">
        <v>68</v>
      </c>
      <c r="V32" s="7" t="s">
        <v>69</v>
      </c>
      <c r="W32" s="7" t="s">
        <v>70</v>
      </c>
    </row>
    <row r="33" spans="3:23" x14ac:dyDescent="0.4">
      <c r="C33" s="7" t="s">
        <v>143</v>
      </c>
      <c r="D33" s="7" t="s">
        <v>203</v>
      </c>
      <c r="E33" s="6" t="str">
        <f t="shared" si="0"/>
        <v>(회계일자)</v>
      </c>
      <c r="G33" s="15" t="s">
        <v>112</v>
      </c>
      <c r="H33" s="12" t="s">
        <v>110</v>
      </c>
      <c r="I33" s="12"/>
      <c r="J33" s="13"/>
      <c r="K33" s="14" t="s">
        <v>236</v>
      </c>
      <c r="L33" s="9" t="s">
        <v>85</v>
      </c>
      <c r="M33" s="9" t="s">
        <v>86</v>
      </c>
      <c r="O33" t="s">
        <v>91</v>
      </c>
      <c r="P33" s="7" t="s">
        <v>65</v>
      </c>
      <c r="Q33" s="7" t="s">
        <v>64</v>
      </c>
      <c r="R33" s="7" t="s">
        <v>64</v>
      </c>
      <c r="S33" s="7" t="s">
        <v>66</v>
      </c>
      <c r="T33" s="7" t="s">
        <v>67</v>
      </c>
      <c r="U33" s="7" t="s">
        <v>68</v>
      </c>
      <c r="V33" s="7" t="s">
        <v>69</v>
      </c>
      <c r="W33" s="7" t="s">
        <v>70</v>
      </c>
    </row>
    <row r="34" spans="3:23" x14ac:dyDescent="0.4">
      <c r="C34" s="7" t="s">
        <v>144</v>
      </c>
      <c r="D34" s="7" t="s">
        <v>203</v>
      </c>
      <c r="E34" s="6" t="str">
        <f t="shared" si="0"/>
        <v>(회계일자)</v>
      </c>
      <c r="G34" s="15" t="s">
        <v>113</v>
      </c>
      <c r="H34" s="20" t="s">
        <v>109</v>
      </c>
      <c r="I34" s="20"/>
      <c r="J34" s="21"/>
      <c r="K34" s="22" t="s">
        <v>237</v>
      </c>
      <c r="L34" s="9" t="s">
        <v>104</v>
      </c>
      <c r="M34" s="9" t="s">
        <v>105</v>
      </c>
      <c r="N34" s="7" t="s">
        <v>87</v>
      </c>
      <c r="P34" s="7" t="s">
        <v>65</v>
      </c>
      <c r="Q34" s="7" t="s">
        <v>64</v>
      </c>
      <c r="R34" s="7" t="s">
        <v>64</v>
      </c>
      <c r="S34" s="7" t="s">
        <v>66</v>
      </c>
      <c r="T34" s="7" t="s">
        <v>67</v>
      </c>
      <c r="U34" s="7" t="s">
        <v>68</v>
      </c>
      <c r="V34" s="7" t="s">
        <v>69</v>
      </c>
      <c r="W34" s="7" t="s">
        <v>70</v>
      </c>
    </row>
    <row r="35" spans="3:23" x14ac:dyDescent="0.4">
      <c r="C35" s="7" t="s">
        <v>145</v>
      </c>
      <c r="D35" s="7" t="s">
        <v>203</v>
      </c>
      <c r="E35" s="6" t="str">
        <f t="shared" si="0"/>
        <v>(회계일자)</v>
      </c>
      <c r="G35" s="15" t="s">
        <v>112</v>
      </c>
      <c r="H35" s="20" t="s">
        <v>108</v>
      </c>
      <c r="I35" s="20"/>
      <c r="J35" s="21"/>
      <c r="K35" s="22" t="s">
        <v>237</v>
      </c>
      <c r="L35" s="9" t="s">
        <v>106</v>
      </c>
      <c r="M35" s="9" t="s">
        <v>107</v>
      </c>
      <c r="N35" s="7"/>
      <c r="P35" s="7" t="s">
        <v>65</v>
      </c>
      <c r="Q35" s="7" t="s">
        <v>64</v>
      </c>
      <c r="R35" s="7" t="s">
        <v>64</v>
      </c>
      <c r="S35" s="7" t="s">
        <v>66</v>
      </c>
      <c r="T35" s="7" t="s">
        <v>67</v>
      </c>
      <c r="U35" s="7" t="s">
        <v>68</v>
      </c>
      <c r="V35" s="7" t="s">
        <v>69</v>
      </c>
      <c r="W35" s="7" t="s">
        <v>70</v>
      </c>
    </row>
    <row r="36" spans="3:23" x14ac:dyDescent="0.4">
      <c r="C36" s="7" t="s">
        <v>146</v>
      </c>
      <c r="D36" s="7" t="s">
        <v>203</v>
      </c>
      <c r="E36" s="6" t="str">
        <f t="shared" si="0"/>
        <v>(회계일자)</v>
      </c>
      <c r="G36" s="15" t="s">
        <v>112</v>
      </c>
      <c r="H36" s="20" t="s">
        <v>110</v>
      </c>
      <c r="I36" s="20"/>
      <c r="J36" s="21"/>
      <c r="K36" s="22" t="s">
        <v>237</v>
      </c>
      <c r="L36" s="9" t="s">
        <v>71</v>
      </c>
      <c r="M36" s="9" t="s">
        <v>72</v>
      </c>
      <c r="O36" t="s">
        <v>91</v>
      </c>
      <c r="P36" s="7" t="s">
        <v>65</v>
      </c>
      <c r="Q36" s="7" t="s">
        <v>64</v>
      </c>
      <c r="R36" s="7" t="s">
        <v>64</v>
      </c>
      <c r="S36" s="7" t="s">
        <v>66</v>
      </c>
      <c r="T36" s="7" t="s">
        <v>67</v>
      </c>
      <c r="U36" s="7" t="s">
        <v>68</v>
      </c>
      <c r="V36" s="7" t="s">
        <v>69</v>
      </c>
      <c r="W36" s="7" t="s">
        <v>70</v>
      </c>
    </row>
    <row r="37" spans="3:23" x14ac:dyDescent="0.4">
      <c r="C37" s="7" t="s">
        <v>147</v>
      </c>
      <c r="D37" s="7" t="s">
        <v>203</v>
      </c>
      <c r="E37" s="6" t="str">
        <f t="shared" si="0"/>
        <v>(회계일자)</v>
      </c>
      <c r="G37" s="15" t="s">
        <v>112</v>
      </c>
      <c r="H37" s="20" t="s">
        <v>110</v>
      </c>
      <c r="I37" s="20"/>
      <c r="J37" s="21"/>
      <c r="K37" s="22" t="s">
        <v>237</v>
      </c>
      <c r="L37" s="9" t="s">
        <v>73</v>
      </c>
      <c r="M37" s="9" t="s">
        <v>74</v>
      </c>
      <c r="O37" t="s">
        <v>91</v>
      </c>
      <c r="P37" s="7" t="s">
        <v>65</v>
      </c>
      <c r="Q37" s="7" t="s">
        <v>64</v>
      </c>
      <c r="R37" s="7" t="s">
        <v>64</v>
      </c>
      <c r="S37" s="7" t="s">
        <v>66</v>
      </c>
      <c r="T37" s="7" t="s">
        <v>67</v>
      </c>
      <c r="U37" s="7" t="s">
        <v>68</v>
      </c>
      <c r="V37" s="7" t="s">
        <v>69</v>
      </c>
      <c r="W37" s="7" t="s">
        <v>70</v>
      </c>
    </row>
    <row r="38" spans="3:23" x14ac:dyDescent="0.4">
      <c r="C38" s="7" t="s">
        <v>148</v>
      </c>
      <c r="D38" s="7" t="s">
        <v>203</v>
      </c>
      <c r="E38" s="6" t="str">
        <f t="shared" si="0"/>
        <v>(회계일자)</v>
      </c>
      <c r="G38" s="15" t="s">
        <v>112</v>
      </c>
      <c r="H38" s="20" t="s">
        <v>110</v>
      </c>
      <c r="I38" s="20"/>
      <c r="J38" s="21"/>
      <c r="K38" s="22" t="s">
        <v>237</v>
      </c>
      <c r="L38" s="9" t="s">
        <v>75</v>
      </c>
      <c r="M38" s="9" t="s">
        <v>76</v>
      </c>
      <c r="O38" t="s">
        <v>91</v>
      </c>
      <c r="P38" s="7" t="s">
        <v>65</v>
      </c>
      <c r="Q38" s="7" t="s">
        <v>64</v>
      </c>
      <c r="R38" s="7" t="s">
        <v>64</v>
      </c>
      <c r="S38" s="7" t="s">
        <v>66</v>
      </c>
      <c r="T38" s="7" t="s">
        <v>67</v>
      </c>
      <c r="U38" s="7" t="s">
        <v>68</v>
      </c>
      <c r="V38" s="7" t="s">
        <v>69</v>
      </c>
      <c r="W38" s="7" t="s">
        <v>70</v>
      </c>
    </row>
    <row r="39" spans="3:23" x14ac:dyDescent="0.4">
      <c r="C39" s="7" t="s">
        <v>149</v>
      </c>
      <c r="D39" s="7" t="s">
        <v>203</v>
      </c>
      <c r="E39" s="6" t="str">
        <f t="shared" si="0"/>
        <v>(회계일자)</v>
      </c>
      <c r="G39" s="15" t="s">
        <v>112</v>
      </c>
      <c r="H39" s="20" t="s">
        <v>110</v>
      </c>
      <c r="I39" s="20"/>
      <c r="J39" s="21"/>
      <c r="K39" s="22" t="s">
        <v>237</v>
      </c>
      <c r="L39" s="9" t="s">
        <v>77</v>
      </c>
      <c r="M39" s="9" t="s">
        <v>78</v>
      </c>
      <c r="O39" t="s">
        <v>91</v>
      </c>
      <c r="P39" s="7" t="s">
        <v>65</v>
      </c>
      <c r="Q39" s="7" t="s">
        <v>64</v>
      </c>
      <c r="R39" s="7" t="s">
        <v>64</v>
      </c>
      <c r="S39" s="7" t="s">
        <v>66</v>
      </c>
      <c r="T39" s="7" t="s">
        <v>67</v>
      </c>
      <c r="U39" s="7" t="s">
        <v>68</v>
      </c>
      <c r="V39" s="7" t="s">
        <v>69</v>
      </c>
      <c r="W39" s="7" t="s">
        <v>70</v>
      </c>
    </row>
    <row r="40" spans="3:23" x14ac:dyDescent="0.4">
      <c r="C40" s="7" t="s">
        <v>150</v>
      </c>
      <c r="D40" s="7" t="s">
        <v>203</v>
      </c>
      <c r="E40" s="6" t="str">
        <f t="shared" si="0"/>
        <v>(회계일자)</v>
      </c>
      <c r="G40" s="15" t="s">
        <v>112</v>
      </c>
      <c r="H40" s="20" t="s">
        <v>110</v>
      </c>
      <c r="I40" s="20"/>
      <c r="J40" s="21"/>
      <c r="K40" s="22" t="s">
        <v>237</v>
      </c>
      <c r="L40" s="9" t="s">
        <v>79</v>
      </c>
      <c r="M40" s="9" t="s">
        <v>80</v>
      </c>
      <c r="O40" t="s">
        <v>91</v>
      </c>
      <c r="P40" s="7" t="s">
        <v>65</v>
      </c>
      <c r="Q40" s="7" t="s">
        <v>64</v>
      </c>
      <c r="R40" s="7" t="s">
        <v>64</v>
      </c>
      <c r="S40" s="7" t="s">
        <v>66</v>
      </c>
      <c r="T40" s="7" t="s">
        <v>67</v>
      </c>
      <c r="U40" s="7" t="s">
        <v>68</v>
      </c>
      <c r="V40" s="7" t="s">
        <v>69</v>
      </c>
      <c r="W40" s="7" t="s">
        <v>70</v>
      </c>
    </row>
    <row r="41" spans="3:23" x14ac:dyDescent="0.4">
      <c r="C41" s="7" t="s">
        <v>151</v>
      </c>
      <c r="D41" s="7" t="s">
        <v>203</v>
      </c>
      <c r="E41" s="6" t="str">
        <f t="shared" si="0"/>
        <v>(회계일자)</v>
      </c>
      <c r="G41" s="15" t="s">
        <v>112</v>
      </c>
      <c r="H41" s="20" t="s">
        <v>110</v>
      </c>
      <c r="I41" s="20"/>
      <c r="J41" s="21"/>
      <c r="K41" s="22" t="s">
        <v>237</v>
      </c>
      <c r="L41" s="9" t="s">
        <v>81</v>
      </c>
      <c r="M41" s="9" t="s">
        <v>82</v>
      </c>
      <c r="O41" t="s">
        <v>91</v>
      </c>
      <c r="P41" s="7" t="s">
        <v>65</v>
      </c>
      <c r="Q41" s="7" t="s">
        <v>64</v>
      </c>
      <c r="R41" s="7" t="s">
        <v>64</v>
      </c>
      <c r="S41" s="7" t="s">
        <v>66</v>
      </c>
      <c r="T41" s="7" t="s">
        <v>67</v>
      </c>
      <c r="U41" s="7" t="s">
        <v>68</v>
      </c>
      <c r="V41" s="7" t="s">
        <v>69</v>
      </c>
      <c r="W41" s="7" t="s">
        <v>70</v>
      </c>
    </row>
    <row r="42" spans="3:23" x14ac:dyDescent="0.4">
      <c r="C42" s="7" t="s">
        <v>152</v>
      </c>
      <c r="D42" s="7" t="s">
        <v>203</v>
      </c>
      <c r="E42" s="6" t="str">
        <f t="shared" si="0"/>
        <v>(회계일자)</v>
      </c>
      <c r="G42" s="15" t="s">
        <v>112</v>
      </c>
      <c r="H42" s="20" t="s">
        <v>110</v>
      </c>
      <c r="I42" s="20"/>
      <c r="J42" s="21"/>
      <c r="K42" s="22" t="s">
        <v>237</v>
      </c>
      <c r="L42" s="9" t="s">
        <v>83</v>
      </c>
      <c r="M42" s="9" t="s">
        <v>84</v>
      </c>
      <c r="O42" t="s">
        <v>91</v>
      </c>
      <c r="P42" s="7" t="s">
        <v>65</v>
      </c>
      <c r="Q42" s="7" t="s">
        <v>64</v>
      </c>
      <c r="R42" s="7" t="s">
        <v>64</v>
      </c>
      <c r="S42" s="7" t="s">
        <v>66</v>
      </c>
      <c r="T42" s="7" t="s">
        <v>67</v>
      </c>
      <c r="U42" s="7" t="s">
        <v>68</v>
      </c>
      <c r="V42" s="7" t="s">
        <v>69</v>
      </c>
      <c r="W42" s="7" t="s">
        <v>70</v>
      </c>
    </row>
    <row r="43" spans="3:23" x14ac:dyDescent="0.4">
      <c r="C43" s="7" t="s">
        <v>153</v>
      </c>
      <c r="D43" s="7" t="s">
        <v>203</v>
      </c>
      <c r="E43" s="6" t="str">
        <f t="shared" si="0"/>
        <v>(회계일자)</v>
      </c>
      <c r="G43" s="15" t="s">
        <v>112</v>
      </c>
      <c r="H43" s="20" t="s">
        <v>110</v>
      </c>
      <c r="I43" s="20"/>
      <c r="J43" s="21"/>
      <c r="K43" s="22" t="s">
        <v>237</v>
      </c>
      <c r="L43" s="9" t="s">
        <v>85</v>
      </c>
      <c r="M43" s="9" t="s">
        <v>86</v>
      </c>
      <c r="O43" t="s">
        <v>91</v>
      </c>
      <c r="P43" s="7" t="s">
        <v>65</v>
      </c>
      <c r="Q43" s="7" t="s">
        <v>64</v>
      </c>
      <c r="R43" s="7" t="s">
        <v>64</v>
      </c>
      <c r="S43" s="7" t="s">
        <v>66</v>
      </c>
      <c r="T43" s="7" t="s">
        <v>67</v>
      </c>
      <c r="U43" s="7" t="s">
        <v>68</v>
      </c>
      <c r="V43" s="7" t="s">
        <v>69</v>
      </c>
      <c r="W43" s="7" t="s">
        <v>70</v>
      </c>
    </row>
    <row r="44" spans="3:23" x14ac:dyDescent="0.4">
      <c r="C44" s="7" t="s">
        <v>154</v>
      </c>
      <c r="D44" s="7" t="s">
        <v>203</v>
      </c>
      <c r="E44" s="6" t="str">
        <f t="shared" ref="E44:E76" si="1">TEXT(D44,"0")</f>
        <v>(회계일자)</v>
      </c>
      <c r="G44" s="15" t="s">
        <v>113</v>
      </c>
      <c r="H44" s="23" t="s">
        <v>109</v>
      </c>
      <c r="I44" s="23"/>
      <c r="J44" s="24"/>
      <c r="K44" s="25" t="s">
        <v>238</v>
      </c>
      <c r="L44" s="9" t="s">
        <v>119</v>
      </c>
      <c r="M44" s="9" t="s">
        <v>120</v>
      </c>
      <c r="N44" s="7" t="s">
        <v>114</v>
      </c>
      <c r="P44" s="7" t="s">
        <v>65</v>
      </c>
      <c r="Q44" s="7" t="s">
        <v>64</v>
      </c>
      <c r="R44" s="7" t="s">
        <v>64</v>
      </c>
      <c r="S44" s="7" t="s">
        <v>66</v>
      </c>
      <c r="T44" s="7" t="s">
        <v>67</v>
      </c>
      <c r="U44" s="7" t="s">
        <v>68</v>
      </c>
      <c r="V44" s="7" t="s">
        <v>69</v>
      </c>
      <c r="W44" s="7" t="s">
        <v>70</v>
      </c>
    </row>
    <row r="45" spans="3:23" x14ac:dyDescent="0.4">
      <c r="C45" s="7" t="s">
        <v>155</v>
      </c>
      <c r="D45" s="7" t="s">
        <v>203</v>
      </c>
      <c r="E45" s="6" t="str">
        <f t="shared" si="1"/>
        <v>(회계일자)</v>
      </c>
      <c r="G45" s="15" t="s">
        <v>112</v>
      </c>
      <c r="H45" s="23" t="s">
        <v>108</v>
      </c>
      <c r="I45" s="23"/>
      <c r="J45" s="24"/>
      <c r="K45" s="25" t="s">
        <v>238</v>
      </c>
      <c r="L45" s="9" t="s">
        <v>119</v>
      </c>
      <c r="M45" s="9" t="s">
        <v>120</v>
      </c>
      <c r="P45" s="7" t="s">
        <v>65</v>
      </c>
      <c r="Q45" s="7" t="s">
        <v>64</v>
      </c>
      <c r="R45" s="7" t="s">
        <v>64</v>
      </c>
      <c r="S45" s="7" t="s">
        <v>66</v>
      </c>
      <c r="T45" s="7" t="s">
        <v>67</v>
      </c>
      <c r="U45" s="7" t="s">
        <v>68</v>
      </c>
      <c r="V45" s="7" t="s">
        <v>69</v>
      </c>
      <c r="W45" s="7" t="s">
        <v>70</v>
      </c>
    </row>
    <row r="46" spans="3:23" x14ac:dyDescent="0.4">
      <c r="C46" s="7" t="s">
        <v>156</v>
      </c>
      <c r="D46" s="7" t="s">
        <v>203</v>
      </c>
      <c r="E46" s="6" t="str">
        <f t="shared" si="1"/>
        <v>(회계일자)</v>
      </c>
      <c r="G46" s="15" t="s">
        <v>112</v>
      </c>
      <c r="H46" s="23" t="s">
        <v>110</v>
      </c>
      <c r="I46" s="23"/>
      <c r="J46" s="24"/>
      <c r="K46" s="25" t="s">
        <v>238</v>
      </c>
      <c r="L46" s="9" t="s">
        <v>71</v>
      </c>
      <c r="M46" s="9" t="s">
        <v>72</v>
      </c>
      <c r="O46" t="s">
        <v>91</v>
      </c>
      <c r="P46" s="7" t="s">
        <v>65</v>
      </c>
      <c r="Q46" s="7" t="s">
        <v>64</v>
      </c>
      <c r="R46" s="7" t="s">
        <v>64</v>
      </c>
      <c r="S46" s="7" t="s">
        <v>66</v>
      </c>
      <c r="T46" s="7" t="s">
        <v>67</v>
      </c>
      <c r="U46" s="7" t="s">
        <v>68</v>
      </c>
      <c r="V46" s="7" t="s">
        <v>69</v>
      </c>
      <c r="W46" s="7" t="s">
        <v>70</v>
      </c>
    </row>
    <row r="47" spans="3:23" x14ac:dyDescent="0.4">
      <c r="C47" s="7" t="s">
        <v>157</v>
      </c>
      <c r="D47" s="7" t="s">
        <v>203</v>
      </c>
      <c r="E47" s="6" t="str">
        <f t="shared" si="1"/>
        <v>(회계일자)</v>
      </c>
      <c r="G47" s="15" t="s">
        <v>112</v>
      </c>
      <c r="H47" s="23" t="s">
        <v>110</v>
      </c>
      <c r="I47" s="23"/>
      <c r="J47" s="24"/>
      <c r="K47" s="25" t="s">
        <v>238</v>
      </c>
      <c r="L47" s="9" t="s">
        <v>73</v>
      </c>
      <c r="M47" s="9" t="s">
        <v>74</v>
      </c>
      <c r="O47" t="s">
        <v>91</v>
      </c>
      <c r="P47" s="7" t="s">
        <v>65</v>
      </c>
      <c r="Q47" s="7" t="s">
        <v>64</v>
      </c>
      <c r="R47" s="7" t="s">
        <v>64</v>
      </c>
      <c r="S47" s="7" t="s">
        <v>66</v>
      </c>
      <c r="T47" s="7" t="s">
        <v>67</v>
      </c>
      <c r="U47" s="7" t="s">
        <v>68</v>
      </c>
      <c r="V47" s="7" t="s">
        <v>69</v>
      </c>
      <c r="W47" s="7" t="s">
        <v>70</v>
      </c>
    </row>
    <row r="48" spans="3:23" x14ac:dyDescent="0.4">
      <c r="C48" s="7" t="s">
        <v>158</v>
      </c>
      <c r="D48" s="7" t="s">
        <v>203</v>
      </c>
      <c r="E48" s="6" t="str">
        <f t="shared" si="1"/>
        <v>(회계일자)</v>
      </c>
      <c r="G48" s="15" t="s">
        <v>112</v>
      </c>
      <c r="H48" s="23" t="s">
        <v>110</v>
      </c>
      <c r="I48" s="23"/>
      <c r="J48" s="24"/>
      <c r="K48" s="25" t="s">
        <v>238</v>
      </c>
      <c r="L48" s="9" t="s">
        <v>75</v>
      </c>
      <c r="M48" s="9" t="s">
        <v>76</v>
      </c>
      <c r="O48" t="s">
        <v>91</v>
      </c>
      <c r="P48" s="7" t="s">
        <v>65</v>
      </c>
      <c r="Q48" s="7" t="s">
        <v>64</v>
      </c>
      <c r="R48" s="7" t="s">
        <v>64</v>
      </c>
      <c r="S48" s="7" t="s">
        <v>66</v>
      </c>
      <c r="T48" s="7" t="s">
        <v>67</v>
      </c>
      <c r="U48" s="7" t="s">
        <v>68</v>
      </c>
      <c r="V48" s="7" t="s">
        <v>69</v>
      </c>
      <c r="W48" s="7" t="s">
        <v>70</v>
      </c>
    </row>
    <row r="49" spans="3:23" x14ac:dyDescent="0.4">
      <c r="C49" s="7" t="s">
        <v>159</v>
      </c>
      <c r="D49" s="7" t="s">
        <v>203</v>
      </c>
      <c r="E49" s="6" t="str">
        <f t="shared" si="1"/>
        <v>(회계일자)</v>
      </c>
      <c r="G49" s="15" t="s">
        <v>112</v>
      </c>
      <c r="H49" s="23" t="s">
        <v>110</v>
      </c>
      <c r="I49" s="23"/>
      <c r="J49" s="24"/>
      <c r="K49" s="25" t="s">
        <v>238</v>
      </c>
      <c r="L49" s="9" t="s">
        <v>77</v>
      </c>
      <c r="M49" s="9" t="s">
        <v>78</v>
      </c>
      <c r="O49" t="s">
        <v>91</v>
      </c>
      <c r="P49" s="7" t="s">
        <v>65</v>
      </c>
      <c r="Q49" s="7" t="s">
        <v>64</v>
      </c>
      <c r="R49" s="7" t="s">
        <v>64</v>
      </c>
      <c r="S49" s="7" t="s">
        <v>66</v>
      </c>
      <c r="T49" s="7" t="s">
        <v>67</v>
      </c>
      <c r="U49" s="7" t="s">
        <v>68</v>
      </c>
      <c r="V49" s="7" t="s">
        <v>69</v>
      </c>
      <c r="W49" s="7" t="s">
        <v>70</v>
      </c>
    </row>
    <row r="50" spans="3:23" x14ac:dyDescent="0.4">
      <c r="C50" s="7" t="s">
        <v>160</v>
      </c>
      <c r="D50" s="7" t="s">
        <v>203</v>
      </c>
      <c r="E50" s="6" t="str">
        <f t="shared" si="1"/>
        <v>(회계일자)</v>
      </c>
      <c r="G50" s="15" t="s">
        <v>112</v>
      </c>
      <c r="H50" s="23" t="s">
        <v>110</v>
      </c>
      <c r="I50" s="23"/>
      <c r="J50" s="24"/>
      <c r="K50" s="25" t="s">
        <v>238</v>
      </c>
      <c r="L50" s="9" t="s">
        <v>79</v>
      </c>
      <c r="M50" s="9" t="s">
        <v>80</v>
      </c>
      <c r="O50" t="s">
        <v>91</v>
      </c>
      <c r="P50" s="7" t="s">
        <v>65</v>
      </c>
      <c r="Q50" s="7" t="s">
        <v>64</v>
      </c>
      <c r="R50" s="7" t="s">
        <v>64</v>
      </c>
      <c r="S50" s="7" t="s">
        <v>66</v>
      </c>
      <c r="T50" s="7" t="s">
        <v>67</v>
      </c>
      <c r="U50" s="7" t="s">
        <v>68</v>
      </c>
      <c r="V50" s="7" t="s">
        <v>69</v>
      </c>
      <c r="W50" s="7" t="s">
        <v>70</v>
      </c>
    </row>
    <row r="51" spans="3:23" x14ac:dyDescent="0.4">
      <c r="C51" s="7" t="s">
        <v>161</v>
      </c>
      <c r="D51" s="7" t="s">
        <v>203</v>
      </c>
      <c r="E51" s="6" t="str">
        <f t="shared" si="1"/>
        <v>(회계일자)</v>
      </c>
      <c r="G51" s="15" t="s">
        <v>112</v>
      </c>
      <c r="H51" s="23" t="s">
        <v>110</v>
      </c>
      <c r="I51" s="23"/>
      <c r="J51" s="24"/>
      <c r="K51" s="25" t="s">
        <v>238</v>
      </c>
      <c r="L51" s="9" t="s">
        <v>81</v>
      </c>
      <c r="M51" s="9" t="s">
        <v>82</v>
      </c>
      <c r="O51" t="s">
        <v>91</v>
      </c>
      <c r="P51" s="7" t="s">
        <v>65</v>
      </c>
      <c r="Q51" s="7" t="s">
        <v>64</v>
      </c>
      <c r="R51" s="7" t="s">
        <v>64</v>
      </c>
      <c r="S51" s="7" t="s">
        <v>66</v>
      </c>
      <c r="T51" s="7" t="s">
        <v>67</v>
      </c>
      <c r="U51" s="7" t="s">
        <v>68</v>
      </c>
      <c r="V51" s="7" t="s">
        <v>69</v>
      </c>
      <c r="W51" s="7" t="s">
        <v>70</v>
      </c>
    </row>
    <row r="52" spans="3:23" x14ac:dyDescent="0.4">
      <c r="C52" s="7" t="s">
        <v>162</v>
      </c>
      <c r="D52" s="7" t="s">
        <v>203</v>
      </c>
      <c r="E52" s="6" t="str">
        <f t="shared" si="1"/>
        <v>(회계일자)</v>
      </c>
      <c r="G52" s="15" t="s">
        <v>112</v>
      </c>
      <c r="H52" s="23" t="s">
        <v>110</v>
      </c>
      <c r="I52" s="23"/>
      <c r="J52" s="24"/>
      <c r="K52" s="25" t="s">
        <v>238</v>
      </c>
      <c r="L52" s="9" t="s">
        <v>83</v>
      </c>
      <c r="M52" s="9" t="s">
        <v>84</v>
      </c>
      <c r="O52" t="s">
        <v>91</v>
      </c>
      <c r="P52" s="7" t="s">
        <v>65</v>
      </c>
      <c r="Q52" s="7" t="s">
        <v>64</v>
      </c>
      <c r="R52" s="7" t="s">
        <v>64</v>
      </c>
      <c r="S52" s="7" t="s">
        <v>66</v>
      </c>
      <c r="T52" s="7" t="s">
        <v>67</v>
      </c>
      <c r="U52" s="7" t="s">
        <v>68</v>
      </c>
      <c r="V52" s="7" t="s">
        <v>69</v>
      </c>
      <c r="W52" s="7" t="s">
        <v>70</v>
      </c>
    </row>
    <row r="53" spans="3:23" x14ac:dyDescent="0.4">
      <c r="C53" s="7" t="s">
        <v>163</v>
      </c>
      <c r="D53" s="7" t="s">
        <v>203</v>
      </c>
      <c r="E53" s="6" t="str">
        <f t="shared" si="1"/>
        <v>(회계일자)</v>
      </c>
      <c r="G53" s="15" t="s">
        <v>112</v>
      </c>
      <c r="H53" s="23" t="s">
        <v>110</v>
      </c>
      <c r="I53" s="23"/>
      <c r="J53" s="24"/>
      <c r="K53" s="25" t="s">
        <v>238</v>
      </c>
      <c r="L53" s="9" t="s">
        <v>85</v>
      </c>
      <c r="M53" s="9" t="s">
        <v>86</v>
      </c>
      <c r="O53" t="s">
        <v>91</v>
      </c>
      <c r="P53" s="7" t="s">
        <v>65</v>
      </c>
      <c r="Q53" s="7" t="s">
        <v>64</v>
      </c>
      <c r="R53" s="7" t="s">
        <v>64</v>
      </c>
      <c r="S53" s="7" t="s">
        <v>66</v>
      </c>
      <c r="T53" s="7" t="s">
        <v>67</v>
      </c>
      <c r="U53" s="7" t="s">
        <v>68</v>
      </c>
      <c r="V53" s="7" t="s">
        <v>69</v>
      </c>
      <c r="W53" s="7" t="s">
        <v>70</v>
      </c>
    </row>
    <row r="54" spans="3:23" x14ac:dyDescent="0.4">
      <c r="C54" s="7" t="s">
        <v>164</v>
      </c>
      <c r="D54" s="7" t="s">
        <v>203</v>
      </c>
      <c r="E54" s="6" t="str">
        <f t="shared" si="1"/>
        <v>(회계일자)</v>
      </c>
      <c r="G54" s="15" t="s">
        <v>113</v>
      </c>
      <c r="H54" s="23" t="s">
        <v>111</v>
      </c>
      <c r="I54" s="23"/>
      <c r="J54" s="24"/>
      <c r="K54" s="25" t="s">
        <v>238</v>
      </c>
      <c r="L54" s="9" t="s">
        <v>121</v>
      </c>
      <c r="M54" s="9" t="s">
        <v>122</v>
      </c>
      <c r="N54" s="7" t="s">
        <v>114</v>
      </c>
      <c r="P54" s="7" t="s">
        <v>65</v>
      </c>
      <c r="Q54" s="7" t="s">
        <v>64</v>
      </c>
      <c r="R54" s="7" t="s">
        <v>64</v>
      </c>
      <c r="S54" s="7" t="s">
        <v>66</v>
      </c>
      <c r="T54" s="7" t="s">
        <v>67</v>
      </c>
      <c r="U54" s="7" t="s">
        <v>68</v>
      </c>
      <c r="V54" s="7" t="s">
        <v>69</v>
      </c>
      <c r="W54" s="7" t="s">
        <v>70</v>
      </c>
    </row>
    <row r="55" spans="3:23" x14ac:dyDescent="0.4">
      <c r="C55" s="7" t="s">
        <v>165</v>
      </c>
      <c r="D55" s="7" t="s">
        <v>203</v>
      </c>
      <c r="E55" s="6" t="str">
        <f t="shared" si="1"/>
        <v>(회계일자)</v>
      </c>
      <c r="G55" s="15" t="s">
        <v>113</v>
      </c>
      <c r="H55" s="26" t="s">
        <v>109</v>
      </c>
      <c r="I55" s="26"/>
      <c r="J55" s="27"/>
      <c r="K55" s="28" t="s">
        <v>239</v>
      </c>
      <c r="L55" s="9" t="s">
        <v>123</v>
      </c>
      <c r="M55" s="9" t="s">
        <v>124</v>
      </c>
      <c r="N55" s="7" t="s">
        <v>114</v>
      </c>
      <c r="P55" s="7" t="s">
        <v>65</v>
      </c>
      <c r="Q55" s="7" t="s">
        <v>64</v>
      </c>
      <c r="R55" s="7" t="s">
        <v>64</v>
      </c>
      <c r="S55" s="7" t="s">
        <v>66</v>
      </c>
      <c r="T55" s="7" t="s">
        <v>67</v>
      </c>
      <c r="U55" s="7" t="s">
        <v>68</v>
      </c>
      <c r="V55" s="7" t="s">
        <v>69</v>
      </c>
      <c r="W55" s="7" t="s">
        <v>70</v>
      </c>
    </row>
    <row r="56" spans="3:23" x14ac:dyDescent="0.4">
      <c r="C56" s="7" t="s">
        <v>166</v>
      </c>
      <c r="D56" s="7" t="s">
        <v>203</v>
      </c>
      <c r="E56" s="6" t="str">
        <f t="shared" si="1"/>
        <v>(회계일자)</v>
      </c>
      <c r="G56" s="15" t="s">
        <v>112</v>
      </c>
      <c r="H56" s="26" t="s">
        <v>108</v>
      </c>
      <c r="I56" s="26"/>
      <c r="J56" s="27"/>
      <c r="K56" s="28" t="s">
        <v>239</v>
      </c>
      <c r="L56" s="9" t="s">
        <v>125</v>
      </c>
      <c r="M56" s="9" t="s">
        <v>124</v>
      </c>
      <c r="P56" s="7" t="s">
        <v>65</v>
      </c>
      <c r="Q56" s="7" t="s">
        <v>64</v>
      </c>
      <c r="R56" s="7" t="s">
        <v>64</v>
      </c>
      <c r="S56" s="7" t="s">
        <v>66</v>
      </c>
      <c r="T56" s="7" t="s">
        <v>67</v>
      </c>
      <c r="U56" s="7" t="s">
        <v>68</v>
      </c>
      <c r="V56" s="7" t="s">
        <v>69</v>
      </c>
      <c r="W56" s="7" t="s">
        <v>70</v>
      </c>
    </row>
    <row r="57" spans="3:23" x14ac:dyDescent="0.4">
      <c r="C57" s="7" t="s">
        <v>167</v>
      </c>
      <c r="D57" s="7" t="s">
        <v>203</v>
      </c>
      <c r="E57" s="6" t="str">
        <f t="shared" si="1"/>
        <v>(회계일자)</v>
      </c>
      <c r="G57" s="15" t="s">
        <v>112</v>
      </c>
      <c r="H57" s="26" t="s">
        <v>110</v>
      </c>
      <c r="I57" s="26"/>
      <c r="J57" s="27"/>
      <c r="K57" s="28" t="s">
        <v>239</v>
      </c>
      <c r="L57" s="9" t="s">
        <v>71</v>
      </c>
      <c r="M57" s="9" t="s">
        <v>72</v>
      </c>
      <c r="O57" t="s">
        <v>91</v>
      </c>
      <c r="P57" s="7" t="s">
        <v>65</v>
      </c>
      <c r="Q57" s="7" t="s">
        <v>64</v>
      </c>
      <c r="R57" s="7" t="s">
        <v>64</v>
      </c>
      <c r="S57" s="7" t="s">
        <v>66</v>
      </c>
      <c r="T57" s="7" t="s">
        <v>67</v>
      </c>
      <c r="U57" s="7" t="s">
        <v>68</v>
      </c>
      <c r="V57" s="7" t="s">
        <v>69</v>
      </c>
      <c r="W57" s="7" t="s">
        <v>70</v>
      </c>
    </row>
    <row r="58" spans="3:23" x14ac:dyDescent="0.4">
      <c r="C58" s="7" t="s">
        <v>168</v>
      </c>
      <c r="D58" s="7" t="s">
        <v>203</v>
      </c>
      <c r="E58" s="6" t="str">
        <f t="shared" si="1"/>
        <v>(회계일자)</v>
      </c>
      <c r="G58" s="15" t="s">
        <v>112</v>
      </c>
      <c r="H58" s="26" t="s">
        <v>110</v>
      </c>
      <c r="I58" s="26"/>
      <c r="J58" s="27"/>
      <c r="K58" s="28" t="s">
        <v>239</v>
      </c>
      <c r="L58" s="9" t="s">
        <v>73</v>
      </c>
      <c r="M58" s="9" t="s">
        <v>74</v>
      </c>
      <c r="O58" t="s">
        <v>91</v>
      </c>
      <c r="P58" s="7" t="s">
        <v>65</v>
      </c>
      <c r="Q58" s="7" t="s">
        <v>64</v>
      </c>
      <c r="R58" s="7" t="s">
        <v>64</v>
      </c>
      <c r="S58" s="7" t="s">
        <v>66</v>
      </c>
      <c r="T58" s="7" t="s">
        <v>67</v>
      </c>
      <c r="U58" s="7" t="s">
        <v>68</v>
      </c>
      <c r="V58" s="7" t="s">
        <v>69</v>
      </c>
      <c r="W58" s="7" t="s">
        <v>70</v>
      </c>
    </row>
    <row r="59" spans="3:23" x14ac:dyDescent="0.4">
      <c r="C59" s="7" t="s">
        <v>169</v>
      </c>
      <c r="D59" s="7" t="s">
        <v>203</v>
      </c>
      <c r="E59" s="6" t="str">
        <f t="shared" si="1"/>
        <v>(회계일자)</v>
      </c>
      <c r="G59" s="15" t="s">
        <v>112</v>
      </c>
      <c r="H59" s="26" t="s">
        <v>110</v>
      </c>
      <c r="I59" s="26"/>
      <c r="J59" s="27"/>
      <c r="K59" s="28" t="s">
        <v>239</v>
      </c>
      <c r="L59" s="9" t="s">
        <v>75</v>
      </c>
      <c r="M59" s="9" t="s">
        <v>76</v>
      </c>
      <c r="O59" t="s">
        <v>91</v>
      </c>
      <c r="P59" s="7" t="s">
        <v>65</v>
      </c>
      <c r="Q59" s="7" t="s">
        <v>64</v>
      </c>
      <c r="R59" s="7" t="s">
        <v>64</v>
      </c>
      <c r="S59" s="7" t="s">
        <v>66</v>
      </c>
      <c r="T59" s="7" t="s">
        <v>67</v>
      </c>
      <c r="U59" s="7" t="s">
        <v>68</v>
      </c>
      <c r="V59" s="7" t="s">
        <v>69</v>
      </c>
      <c r="W59" s="7" t="s">
        <v>70</v>
      </c>
    </row>
    <row r="60" spans="3:23" x14ac:dyDescent="0.4">
      <c r="C60" s="7" t="s">
        <v>170</v>
      </c>
      <c r="D60" s="7" t="s">
        <v>203</v>
      </c>
      <c r="E60" s="6" t="str">
        <f t="shared" si="1"/>
        <v>(회계일자)</v>
      </c>
      <c r="G60" s="15" t="s">
        <v>112</v>
      </c>
      <c r="H60" s="26" t="s">
        <v>110</v>
      </c>
      <c r="I60" s="26"/>
      <c r="J60" s="27"/>
      <c r="K60" s="28" t="s">
        <v>239</v>
      </c>
      <c r="L60" s="9" t="s">
        <v>77</v>
      </c>
      <c r="M60" s="9" t="s">
        <v>78</v>
      </c>
      <c r="O60" t="s">
        <v>91</v>
      </c>
      <c r="P60" s="7" t="s">
        <v>65</v>
      </c>
      <c r="Q60" s="7" t="s">
        <v>64</v>
      </c>
      <c r="R60" s="7" t="s">
        <v>64</v>
      </c>
      <c r="S60" s="7" t="s">
        <v>66</v>
      </c>
      <c r="T60" s="7" t="s">
        <v>67</v>
      </c>
      <c r="U60" s="7" t="s">
        <v>68</v>
      </c>
      <c r="V60" s="7" t="s">
        <v>69</v>
      </c>
      <c r="W60" s="7" t="s">
        <v>70</v>
      </c>
    </row>
    <row r="61" spans="3:23" x14ac:dyDescent="0.4">
      <c r="C61" s="7" t="s">
        <v>171</v>
      </c>
      <c r="D61" s="7" t="s">
        <v>203</v>
      </c>
      <c r="E61" s="6" t="str">
        <f t="shared" si="1"/>
        <v>(회계일자)</v>
      </c>
      <c r="G61" s="15" t="s">
        <v>112</v>
      </c>
      <c r="H61" s="26" t="s">
        <v>110</v>
      </c>
      <c r="I61" s="26"/>
      <c r="J61" s="27"/>
      <c r="K61" s="28" t="s">
        <v>239</v>
      </c>
      <c r="L61" s="9" t="s">
        <v>79</v>
      </c>
      <c r="M61" s="9" t="s">
        <v>80</v>
      </c>
      <c r="O61" t="s">
        <v>91</v>
      </c>
      <c r="P61" s="7" t="s">
        <v>65</v>
      </c>
      <c r="Q61" s="7" t="s">
        <v>64</v>
      </c>
      <c r="R61" s="7" t="s">
        <v>64</v>
      </c>
      <c r="S61" s="7" t="s">
        <v>66</v>
      </c>
      <c r="T61" s="7" t="s">
        <v>67</v>
      </c>
      <c r="U61" s="7" t="s">
        <v>68</v>
      </c>
      <c r="V61" s="7" t="s">
        <v>69</v>
      </c>
      <c r="W61" s="7" t="s">
        <v>70</v>
      </c>
    </row>
    <row r="62" spans="3:23" x14ac:dyDescent="0.4">
      <c r="C62" s="7" t="s">
        <v>222</v>
      </c>
      <c r="D62" s="7" t="s">
        <v>203</v>
      </c>
      <c r="E62" s="6" t="str">
        <f t="shared" si="1"/>
        <v>(회계일자)</v>
      </c>
      <c r="G62" s="15" t="s">
        <v>112</v>
      </c>
      <c r="H62" s="26" t="s">
        <v>110</v>
      </c>
      <c r="I62" s="26"/>
      <c r="J62" s="27"/>
      <c r="K62" s="28" t="s">
        <v>239</v>
      </c>
      <c r="L62" s="9" t="s">
        <v>81</v>
      </c>
      <c r="M62" s="9" t="s">
        <v>82</v>
      </c>
      <c r="O62" t="s">
        <v>91</v>
      </c>
      <c r="P62" s="7" t="s">
        <v>65</v>
      </c>
      <c r="Q62" s="7" t="s">
        <v>64</v>
      </c>
      <c r="R62" s="7" t="s">
        <v>64</v>
      </c>
      <c r="S62" s="7" t="s">
        <v>66</v>
      </c>
      <c r="T62" s="7" t="s">
        <v>67</v>
      </c>
      <c r="U62" s="7" t="s">
        <v>68</v>
      </c>
      <c r="V62" s="7" t="s">
        <v>69</v>
      </c>
      <c r="W62" s="7" t="s">
        <v>70</v>
      </c>
    </row>
    <row r="63" spans="3:23" x14ac:dyDescent="0.4">
      <c r="C63" s="7" t="s">
        <v>223</v>
      </c>
      <c r="D63" s="7" t="s">
        <v>203</v>
      </c>
      <c r="E63" s="6" t="str">
        <f t="shared" si="1"/>
        <v>(회계일자)</v>
      </c>
      <c r="G63" s="15" t="s">
        <v>112</v>
      </c>
      <c r="H63" s="26" t="s">
        <v>110</v>
      </c>
      <c r="I63" s="26"/>
      <c r="J63" s="27"/>
      <c r="K63" s="28" t="s">
        <v>239</v>
      </c>
      <c r="L63" s="9" t="s">
        <v>83</v>
      </c>
      <c r="M63" s="9" t="s">
        <v>84</v>
      </c>
      <c r="O63" t="s">
        <v>91</v>
      </c>
      <c r="P63" s="7" t="s">
        <v>65</v>
      </c>
      <c r="Q63" s="7" t="s">
        <v>64</v>
      </c>
      <c r="R63" s="7" t="s">
        <v>64</v>
      </c>
      <c r="S63" s="7" t="s">
        <v>66</v>
      </c>
      <c r="T63" s="7" t="s">
        <v>67</v>
      </c>
      <c r="U63" s="7" t="s">
        <v>68</v>
      </c>
      <c r="V63" s="7" t="s">
        <v>69</v>
      </c>
      <c r="W63" s="7" t="s">
        <v>70</v>
      </c>
    </row>
    <row r="64" spans="3:23" x14ac:dyDescent="0.4">
      <c r="C64" s="7" t="s">
        <v>224</v>
      </c>
      <c r="D64" s="7" t="s">
        <v>203</v>
      </c>
      <c r="E64" s="6" t="str">
        <f t="shared" si="1"/>
        <v>(회계일자)</v>
      </c>
      <c r="G64" s="15" t="s">
        <v>112</v>
      </c>
      <c r="H64" s="26" t="s">
        <v>110</v>
      </c>
      <c r="I64" s="26"/>
      <c r="J64" s="27"/>
      <c r="K64" s="28" t="s">
        <v>239</v>
      </c>
      <c r="L64" s="9" t="s">
        <v>85</v>
      </c>
      <c r="M64" s="9" t="s">
        <v>86</v>
      </c>
      <c r="O64" t="s">
        <v>91</v>
      </c>
      <c r="P64" s="7" t="s">
        <v>65</v>
      </c>
      <c r="Q64" s="7" t="s">
        <v>64</v>
      </c>
      <c r="R64" s="7" t="s">
        <v>64</v>
      </c>
      <c r="S64" s="7" t="s">
        <v>66</v>
      </c>
      <c r="T64" s="7" t="s">
        <v>67</v>
      </c>
      <c r="U64" s="7" t="s">
        <v>68</v>
      </c>
      <c r="V64" s="7" t="s">
        <v>69</v>
      </c>
      <c r="W64" s="7" t="s">
        <v>70</v>
      </c>
    </row>
    <row r="65" spans="3:23" x14ac:dyDescent="0.4">
      <c r="C65" s="7" t="s">
        <v>225</v>
      </c>
      <c r="D65" s="7" t="s">
        <v>203</v>
      </c>
      <c r="E65" s="6" t="str">
        <f t="shared" si="1"/>
        <v>(회계일자)</v>
      </c>
      <c r="G65" s="15" t="s">
        <v>113</v>
      </c>
      <c r="H65" s="29" t="s">
        <v>109</v>
      </c>
      <c r="I65" s="29"/>
      <c r="J65" s="30"/>
      <c r="K65" s="31" t="s">
        <v>240</v>
      </c>
      <c r="L65" s="9" t="s">
        <v>126</v>
      </c>
      <c r="M65" s="9" t="s">
        <v>127</v>
      </c>
      <c r="N65" s="7" t="s">
        <v>114</v>
      </c>
      <c r="P65" s="7" t="s">
        <v>65</v>
      </c>
      <c r="Q65" s="7" t="s">
        <v>64</v>
      </c>
      <c r="R65" s="7" t="s">
        <v>64</v>
      </c>
      <c r="S65" s="7" t="s">
        <v>66</v>
      </c>
      <c r="T65" s="7" t="s">
        <v>67</v>
      </c>
      <c r="U65" s="7" t="s">
        <v>68</v>
      </c>
      <c r="V65" s="7" t="s">
        <v>69</v>
      </c>
      <c r="W65" s="7" t="s">
        <v>70</v>
      </c>
    </row>
    <row r="66" spans="3:23" x14ac:dyDescent="0.4">
      <c r="C66" s="7" t="s">
        <v>226</v>
      </c>
      <c r="D66" s="7" t="s">
        <v>203</v>
      </c>
      <c r="E66" s="6" t="str">
        <f t="shared" si="1"/>
        <v>(회계일자)</v>
      </c>
      <c r="G66" s="15" t="s">
        <v>112</v>
      </c>
      <c r="H66" s="29" t="s">
        <v>108</v>
      </c>
      <c r="I66" s="29"/>
      <c r="J66" s="30"/>
      <c r="K66" s="31" t="s">
        <v>240</v>
      </c>
      <c r="L66" s="9" t="s">
        <v>128</v>
      </c>
      <c r="M66" s="9" t="s">
        <v>129</v>
      </c>
      <c r="P66" s="7" t="s">
        <v>65</v>
      </c>
      <c r="Q66" s="7" t="s">
        <v>64</v>
      </c>
      <c r="R66" s="7" t="s">
        <v>64</v>
      </c>
      <c r="S66" s="7" t="s">
        <v>66</v>
      </c>
      <c r="T66" s="7" t="s">
        <v>67</v>
      </c>
      <c r="U66" s="7" t="s">
        <v>68</v>
      </c>
      <c r="V66" s="7" t="s">
        <v>69</v>
      </c>
      <c r="W66" s="7" t="s">
        <v>70</v>
      </c>
    </row>
    <row r="67" spans="3:23" x14ac:dyDescent="0.4">
      <c r="C67" s="7" t="s">
        <v>227</v>
      </c>
      <c r="D67" s="7" t="s">
        <v>203</v>
      </c>
      <c r="E67" s="6" t="str">
        <f t="shared" si="1"/>
        <v>(회계일자)</v>
      </c>
      <c r="G67" s="15" t="s">
        <v>112</v>
      </c>
      <c r="H67" s="29" t="s">
        <v>110</v>
      </c>
      <c r="I67" s="29"/>
      <c r="J67" s="30"/>
      <c r="K67" s="31" t="s">
        <v>240</v>
      </c>
      <c r="L67" s="9" t="s">
        <v>71</v>
      </c>
      <c r="M67" s="9" t="s">
        <v>72</v>
      </c>
      <c r="O67" t="s">
        <v>91</v>
      </c>
      <c r="P67" s="7" t="s">
        <v>65</v>
      </c>
      <c r="Q67" s="7" t="s">
        <v>64</v>
      </c>
      <c r="R67" s="7" t="s">
        <v>64</v>
      </c>
      <c r="S67" s="7" t="s">
        <v>66</v>
      </c>
      <c r="T67" s="7" t="s">
        <v>67</v>
      </c>
      <c r="U67" s="7" t="s">
        <v>68</v>
      </c>
      <c r="V67" s="7" t="s">
        <v>69</v>
      </c>
      <c r="W67" s="7" t="s">
        <v>70</v>
      </c>
    </row>
    <row r="68" spans="3:23" x14ac:dyDescent="0.4">
      <c r="C68" s="7" t="s">
        <v>228</v>
      </c>
      <c r="D68" s="7" t="s">
        <v>203</v>
      </c>
      <c r="E68" s="6" t="str">
        <f t="shared" si="1"/>
        <v>(회계일자)</v>
      </c>
      <c r="G68" s="15" t="s">
        <v>112</v>
      </c>
      <c r="H68" s="29" t="s">
        <v>110</v>
      </c>
      <c r="I68" s="29"/>
      <c r="J68" s="30"/>
      <c r="K68" s="31" t="s">
        <v>240</v>
      </c>
      <c r="L68" s="9" t="s">
        <v>73</v>
      </c>
      <c r="M68" s="9" t="s">
        <v>74</v>
      </c>
      <c r="O68" t="s">
        <v>91</v>
      </c>
      <c r="P68" s="7" t="s">
        <v>65</v>
      </c>
      <c r="Q68" s="7" t="s">
        <v>64</v>
      </c>
      <c r="R68" s="7" t="s">
        <v>64</v>
      </c>
      <c r="S68" s="7" t="s">
        <v>66</v>
      </c>
      <c r="T68" s="7" t="s">
        <v>67</v>
      </c>
      <c r="U68" s="7" t="s">
        <v>68</v>
      </c>
      <c r="V68" s="7" t="s">
        <v>69</v>
      </c>
      <c r="W68" s="7" t="s">
        <v>70</v>
      </c>
    </row>
    <row r="69" spans="3:23" x14ac:dyDescent="0.4">
      <c r="C69" s="7" t="s">
        <v>229</v>
      </c>
      <c r="D69" s="7" t="s">
        <v>203</v>
      </c>
      <c r="E69" s="6" t="str">
        <f t="shared" si="1"/>
        <v>(회계일자)</v>
      </c>
      <c r="G69" s="15" t="s">
        <v>112</v>
      </c>
      <c r="H69" s="29" t="s">
        <v>110</v>
      </c>
      <c r="I69" s="29"/>
      <c r="J69" s="30"/>
      <c r="K69" s="31" t="s">
        <v>240</v>
      </c>
      <c r="L69" s="9" t="s">
        <v>75</v>
      </c>
      <c r="M69" s="9" t="s">
        <v>76</v>
      </c>
      <c r="O69" t="s">
        <v>91</v>
      </c>
      <c r="P69" s="7" t="s">
        <v>65</v>
      </c>
      <c r="Q69" s="7" t="s">
        <v>64</v>
      </c>
      <c r="R69" s="7" t="s">
        <v>64</v>
      </c>
      <c r="S69" s="7" t="s">
        <v>66</v>
      </c>
      <c r="T69" s="7" t="s">
        <v>67</v>
      </c>
      <c r="U69" s="7" t="s">
        <v>68</v>
      </c>
      <c r="V69" s="7" t="s">
        <v>69</v>
      </c>
      <c r="W69" s="7" t="s">
        <v>70</v>
      </c>
    </row>
    <row r="70" spans="3:23" x14ac:dyDescent="0.4">
      <c r="C70" s="7" t="s">
        <v>230</v>
      </c>
      <c r="D70" s="7" t="s">
        <v>203</v>
      </c>
      <c r="E70" s="6" t="str">
        <f t="shared" si="1"/>
        <v>(회계일자)</v>
      </c>
      <c r="G70" s="15" t="s">
        <v>112</v>
      </c>
      <c r="H70" s="29" t="s">
        <v>110</v>
      </c>
      <c r="I70" s="29"/>
      <c r="J70" s="30"/>
      <c r="K70" s="31" t="s">
        <v>240</v>
      </c>
      <c r="L70" s="9" t="s">
        <v>77</v>
      </c>
      <c r="M70" s="9" t="s">
        <v>78</v>
      </c>
      <c r="O70" t="s">
        <v>91</v>
      </c>
      <c r="P70" s="7" t="s">
        <v>65</v>
      </c>
      <c r="Q70" s="7" t="s">
        <v>64</v>
      </c>
      <c r="R70" s="7" t="s">
        <v>64</v>
      </c>
      <c r="S70" s="7" t="s">
        <v>66</v>
      </c>
      <c r="T70" s="7" t="s">
        <v>67</v>
      </c>
      <c r="U70" s="7" t="s">
        <v>68</v>
      </c>
      <c r="V70" s="7" t="s">
        <v>69</v>
      </c>
      <c r="W70" s="7" t="s">
        <v>70</v>
      </c>
    </row>
    <row r="71" spans="3:23" x14ac:dyDescent="0.4">
      <c r="C71" s="7" t="s">
        <v>231</v>
      </c>
      <c r="D71" s="7" t="s">
        <v>203</v>
      </c>
      <c r="E71" s="6" t="str">
        <f t="shared" si="1"/>
        <v>(회계일자)</v>
      </c>
      <c r="G71" s="15" t="s">
        <v>112</v>
      </c>
      <c r="H71" s="29" t="s">
        <v>110</v>
      </c>
      <c r="I71" s="29"/>
      <c r="J71" s="30"/>
      <c r="K71" s="31" t="s">
        <v>240</v>
      </c>
      <c r="L71" s="9" t="s">
        <v>79</v>
      </c>
      <c r="M71" s="9" t="s">
        <v>80</v>
      </c>
      <c r="O71" t="s">
        <v>91</v>
      </c>
      <c r="P71" s="7" t="s">
        <v>65</v>
      </c>
      <c r="Q71" s="7" t="s">
        <v>64</v>
      </c>
      <c r="R71" s="7" t="s">
        <v>64</v>
      </c>
      <c r="S71" s="7" t="s">
        <v>66</v>
      </c>
      <c r="T71" s="7" t="s">
        <v>67</v>
      </c>
      <c r="U71" s="7" t="s">
        <v>68</v>
      </c>
      <c r="V71" s="7" t="s">
        <v>69</v>
      </c>
      <c r="W71" s="7" t="s">
        <v>70</v>
      </c>
    </row>
    <row r="72" spans="3:23" x14ac:dyDescent="0.4">
      <c r="C72" s="7" t="s">
        <v>172</v>
      </c>
      <c r="D72" s="7" t="s">
        <v>203</v>
      </c>
      <c r="E72" s="6" t="str">
        <f t="shared" si="1"/>
        <v>(회계일자)</v>
      </c>
      <c r="G72" s="15" t="s">
        <v>112</v>
      </c>
      <c r="H72" s="29" t="s">
        <v>110</v>
      </c>
      <c r="I72" s="29"/>
      <c r="J72" s="30"/>
      <c r="K72" s="31" t="s">
        <v>240</v>
      </c>
      <c r="L72" s="9" t="s">
        <v>81</v>
      </c>
      <c r="M72" s="9" t="s">
        <v>82</v>
      </c>
      <c r="O72" t="s">
        <v>91</v>
      </c>
      <c r="P72" s="7" t="s">
        <v>65</v>
      </c>
      <c r="Q72" s="7" t="s">
        <v>64</v>
      </c>
      <c r="R72" s="7" t="s">
        <v>64</v>
      </c>
      <c r="S72" s="7" t="s">
        <v>66</v>
      </c>
      <c r="T72" s="7" t="s">
        <v>67</v>
      </c>
      <c r="U72" s="7" t="s">
        <v>68</v>
      </c>
      <c r="V72" s="7" t="s">
        <v>69</v>
      </c>
      <c r="W72" s="7" t="s">
        <v>70</v>
      </c>
    </row>
    <row r="73" spans="3:23" x14ac:dyDescent="0.4">
      <c r="C73" s="7" t="s">
        <v>173</v>
      </c>
      <c r="D73" s="7" t="s">
        <v>203</v>
      </c>
      <c r="E73" s="6" t="str">
        <f t="shared" si="1"/>
        <v>(회계일자)</v>
      </c>
      <c r="G73" s="15" t="s">
        <v>112</v>
      </c>
      <c r="H73" s="29" t="s">
        <v>110</v>
      </c>
      <c r="I73" s="29"/>
      <c r="J73" s="30"/>
      <c r="K73" s="31" t="s">
        <v>240</v>
      </c>
      <c r="L73" s="9" t="s">
        <v>83</v>
      </c>
      <c r="M73" s="9" t="s">
        <v>84</v>
      </c>
      <c r="O73" t="s">
        <v>91</v>
      </c>
      <c r="P73" s="7" t="s">
        <v>65</v>
      </c>
      <c r="Q73" s="7" t="s">
        <v>64</v>
      </c>
      <c r="R73" s="7" t="s">
        <v>64</v>
      </c>
      <c r="S73" s="7" t="s">
        <v>66</v>
      </c>
      <c r="T73" s="7" t="s">
        <v>67</v>
      </c>
      <c r="U73" s="7" t="s">
        <v>68</v>
      </c>
      <c r="V73" s="7" t="s">
        <v>69</v>
      </c>
      <c r="W73" s="7" t="s">
        <v>70</v>
      </c>
    </row>
    <row r="74" spans="3:23" x14ac:dyDescent="0.4">
      <c r="C74" s="7" t="s">
        <v>174</v>
      </c>
      <c r="D74" s="7" t="s">
        <v>203</v>
      </c>
      <c r="E74" s="6" t="str">
        <f t="shared" si="1"/>
        <v>(회계일자)</v>
      </c>
      <c r="G74" s="15" t="s">
        <v>112</v>
      </c>
      <c r="H74" s="29" t="s">
        <v>110</v>
      </c>
      <c r="I74" s="29"/>
      <c r="J74" s="30"/>
      <c r="K74" s="31" t="s">
        <v>240</v>
      </c>
      <c r="L74" s="9" t="s">
        <v>85</v>
      </c>
      <c r="M74" s="9" t="s">
        <v>86</v>
      </c>
      <c r="O74" t="s">
        <v>91</v>
      </c>
      <c r="P74" s="7" t="s">
        <v>65</v>
      </c>
      <c r="Q74" s="7" t="s">
        <v>64</v>
      </c>
      <c r="R74" s="7" t="s">
        <v>64</v>
      </c>
      <c r="S74" s="7" t="s">
        <v>66</v>
      </c>
      <c r="T74" s="7" t="s">
        <v>67</v>
      </c>
      <c r="U74" s="7" t="s">
        <v>68</v>
      </c>
      <c r="V74" s="7" t="s">
        <v>69</v>
      </c>
      <c r="W74" s="7" t="s">
        <v>70</v>
      </c>
    </row>
    <row r="75" spans="3:23" x14ac:dyDescent="0.4">
      <c r="C75" s="7" t="s">
        <v>175</v>
      </c>
      <c r="D75" s="7" t="s">
        <v>203</v>
      </c>
      <c r="E75" s="6" t="str">
        <f t="shared" si="1"/>
        <v>(회계일자)</v>
      </c>
      <c r="G75" s="15" t="s">
        <v>113</v>
      </c>
      <c r="H75" s="32" t="s">
        <v>109</v>
      </c>
      <c r="I75" s="32"/>
      <c r="J75" s="33"/>
      <c r="K75" s="34" t="s">
        <v>241</v>
      </c>
      <c r="L75" s="9" t="s">
        <v>130</v>
      </c>
      <c r="M75" s="9" t="s">
        <v>131</v>
      </c>
      <c r="N75" s="7" t="s">
        <v>114</v>
      </c>
      <c r="P75" s="7" t="s">
        <v>65</v>
      </c>
      <c r="Q75" s="7" t="s">
        <v>64</v>
      </c>
      <c r="R75" s="7" t="s">
        <v>64</v>
      </c>
      <c r="S75" s="7" t="s">
        <v>66</v>
      </c>
      <c r="T75" s="7" t="s">
        <v>67</v>
      </c>
      <c r="U75" s="7" t="s">
        <v>68</v>
      </c>
      <c r="V75" s="7" t="s">
        <v>69</v>
      </c>
      <c r="W75" s="7" t="s">
        <v>70</v>
      </c>
    </row>
    <row r="76" spans="3:23" x14ac:dyDescent="0.4">
      <c r="C76" s="7" t="s">
        <v>176</v>
      </c>
      <c r="D76" s="7" t="s">
        <v>203</v>
      </c>
      <c r="E76" s="6" t="str">
        <f t="shared" si="1"/>
        <v>(회계일자)</v>
      </c>
      <c r="G76" s="15" t="s">
        <v>112</v>
      </c>
      <c r="H76" s="32" t="s">
        <v>110</v>
      </c>
      <c r="I76" s="32"/>
      <c r="J76" s="33"/>
      <c r="K76" s="34" t="s">
        <v>241</v>
      </c>
      <c r="L76" s="9" t="s">
        <v>71</v>
      </c>
      <c r="M76" s="9" t="s">
        <v>72</v>
      </c>
      <c r="O76" t="s">
        <v>91</v>
      </c>
      <c r="P76" s="7" t="s">
        <v>65</v>
      </c>
      <c r="Q76" s="7" t="s">
        <v>64</v>
      </c>
      <c r="R76" s="7" t="s">
        <v>64</v>
      </c>
      <c r="S76" s="7" t="s">
        <v>66</v>
      </c>
      <c r="T76" s="7" t="s">
        <v>67</v>
      </c>
      <c r="U76" s="7" t="s">
        <v>68</v>
      </c>
      <c r="V76" s="7" t="s">
        <v>69</v>
      </c>
      <c r="W76" s="7" t="s">
        <v>70</v>
      </c>
    </row>
    <row r="77" spans="3:23" x14ac:dyDescent="0.4">
      <c r="C77" s="7" t="s">
        <v>177</v>
      </c>
      <c r="D77" s="7" t="s">
        <v>203</v>
      </c>
      <c r="E77" s="6" t="str">
        <f t="shared" ref="E77:E93" si="2">TEXT(D77,"0")</f>
        <v>(회계일자)</v>
      </c>
      <c r="G77" s="15" t="s">
        <v>112</v>
      </c>
      <c r="H77" s="32" t="s">
        <v>110</v>
      </c>
      <c r="I77" s="32"/>
      <c r="J77" s="33"/>
      <c r="K77" s="34" t="s">
        <v>241</v>
      </c>
      <c r="L77" s="9" t="s">
        <v>73</v>
      </c>
      <c r="M77" s="9" t="s">
        <v>74</v>
      </c>
      <c r="O77" t="s">
        <v>91</v>
      </c>
      <c r="P77" s="7" t="s">
        <v>65</v>
      </c>
      <c r="Q77" s="7" t="s">
        <v>64</v>
      </c>
      <c r="R77" s="7" t="s">
        <v>64</v>
      </c>
      <c r="S77" s="7" t="s">
        <v>66</v>
      </c>
      <c r="T77" s="7" t="s">
        <v>67</v>
      </c>
      <c r="U77" s="7" t="s">
        <v>68</v>
      </c>
      <c r="V77" s="7" t="s">
        <v>69</v>
      </c>
      <c r="W77" s="7" t="s">
        <v>70</v>
      </c>
    </row>
    <row r="78" spans="3:23" x14ac:dyDescent="0.4">
      <c r="C78" s="7" t="s">
        <v>178</v>
      </c>
      <c r="D78" s="7" t="s">
        <v>203</v>
      </c>
      <c r="E78" s="6" t="str">
        <f t="shared" si="2"/>
        <v>(회계일자)</v>
      </c>
      <c r="G78" s="15" t="s">
        <v>112</v>
      </c>
      <c r="H78" s="32" t="s">
        <v>110</v>
      </c>
      <c r="I78" s="32"/>
      <c r="J78" s="33"/>
      <c r="K78" s="34" t="s">
        <v>241</v>
      </c>
      <c r="L78" s="9" t="s">
        <v>75</v>
      </c>
      <c r="M78" s="9" t="s">
        <v>76</v>
      </c>
      <c r="O78" t="s">
        <v>91</v>
      </c>
      <c r="P78" s="7" t="s">
        <v>65</v>
      </c>
      <c r="Q78" s="7" t="s">
        <v>64</v>
      </c>
      <c r="R78" s="7" t="s">
        <v>64</v>
      </c>
      <c r="S78" s="7" t="s">
        <v>66</v>
      </c>
      <c r="T78" s="7" t="s">
        <v>67</v>
      </c>
      <c r="U78" s="7" t="s">
        <v>68</v>
      </c>
      <c r="V78" s="7" t="s">
        <v>69</v>
      </c>
      <c r="W78" s="7" t="s">
        <v>70</v>
      </c>
    </row>
    <row r="79" spans="3:23" x14ac:dyDescent="0.4">
      <c r="C79" s="7" t="s">
        <v>179</v>
      </c>
      <c r="D79" s="7" t="s">
        <v>203</v>
      </c>
      <c r="E79" s="6" t="str">
        <f t="shared" si="2"/>
        <v>(회계일자)</v>
      </c>
      <c r="G79" s="15" t="s">
        <v>112</v>
      </c>
      <c r="H79" s="32" t="s">
        <v>110</v>
      </c>
      <c r="I79" s="32"/>
      <c r="J79" s="33"/>
      <c r="K79" s="34" t="s">
        <v>241</v>
      </c>
      <c r="L79" s="9" t="s">
        <v>77</v>
      </c>
      <c r="M79" s="9" t="s">
        <v>78</v>
      </c>
      <c r="O79" t="s">
        <v>91</v>
      </c>
      <c r="P79" s="7" t="s">
        <v>65</v>
      </c>
      <c r="Q79" s="7" t="s">
        <v>64</v>
      </c>
      <c r="R79" s="7" t="s">
        <v>64</v>
      </c>
      <c r="S79" s="7" t="s">
        <v>66</v>
      </c>
      <c r="T79" s="7" t="s">
        <v>67</v>
      </c>
      <c r="U79" s="7" t="s">
        <v>68</v>
      </c>
      <c r="V79" s="7" t="s">
        <v>69</v>
      </c>
      <c r="W79" s="7" t="s">
        <v>70</v>
      </c>
    </row>
    <row r="80" spans="3:23" x14ac:dyDescent="0.4">
      <c r="C80" s="7" t="s">
        <v>180</v>
      </c>
      <c r="D80" s="7" t="s">
        <v>203</v>
      </c>
      <c r="E80" s="6" t="str">
        <f t="shared" si="2"/>
        <v>(회계일자)</v>
      </c>
      <c r="G80" s="15" t="s">
        <v>112</v>
      </c>
      <c r="H80" s="32" t="s">
        <v>110</v>
      </c>
      <c r="I80" s="32"/>
      <c r="J80" s="33"/>
      <c r="K80" s="34" t="s">
        <v>241</v>
      </c>
      <c r="L80" s="9" t="s">
        <v>79</v>
      </c>
      <c r="M80" s="9" t="s">
        <v>80</v>
      </c>
      <c r="O80" t="s">
        <v>91</v>
      </c>
      <c r="P80" s="7" t="s">
        <v>65</v>
      </c>
      <c r="Q80" s="7" t="s">
        <v>64</v>
      </c>
      <c r="R80" s="7" t="s">
        <v>64</v>
      </c>
      <c r="S80" s="7" t="s">
        <v>66</v>
      </c>
      <c r="T80" s="7" t="s">
        <v>67</v>
      </c>
      <c r="U80" s="7" t="s">
        <v>68</v>
      </c>
      <c r="V80" s="7" t="s">
        <v>69</v>
      </c>
      <c r="W80" s="7" t="s">
        <v>70</v>
      </c>
    </row>
    <row r="81" spans="1:23" x14ac:dyDescent="0.4">
      <c r="C81" s="7" t="s">
        <v>181</v>
      </c>
      <c r="D81" s="7" t="s">
        <v>203</v>
      </c>
      <c r="E81" s="6" t="str">
        <f t="shared" si="2"/>
        <v>(회계일자)</v>
      </c>
      <c r="G81" s="15" t="s">
        <v>112</v>
      </c>
      <c r="H81" s="32" t="s">
        <v>110</v>
      </c>
      <c r="I81" s="32"/>
      <c r="J81" s="33"/>
      <c r="K81" s="34" t="s">
        <v>241</v>
      </c>
      <c r="L81" s="9" t="s">
        <v>81</v>
      </c>
      <c r="M81" s="9" t="s">
        <v>82</v>
      </c>
      <c r="O81" t="s">
        <v>91</v>
      </c>
      <c r="P81" s="7" t="s">
        <v>65</v>
      </c>
      <c r="Q81" s="7" t="s">
        <v>64</v>
      </c>
      <c r="R81" s="7" t="s">
        <v>64</v>
      </c>
      <c r="S81" s="7" t="s">
        <v>66</v>
      </c>
      <c r="T81" s="7" t="s">
        <v>67</v>
      </c>
      <c r="U81" s="7" t="s">
        <v>68</v>
      </c>
      <c r="V81" s="7" t="s">
        <v>69</v>
      </c>
      <c r="W81" s="7" t="s">
        <v>70</v>
      </c>
    </row>
    <row r="82" spans="1:23" x14ac:dyDescent="0.4">
      <c r="C82" s="7" t="s">
        <v>182</v>
      </c>
      <c r="D82" s="7" t="s">
        <v>203</v>
      </c>
      <c r="E82" s="6" t="str">
        <f t="shared" si="2"/>
        <v>(회계일자)</v>
      </c>
      <c r="G82" s="15" t="s">
        <v>112</v>
      </c>
      <c r="H82" s="32" t="s">
        <v>110</v>
      </c>
      <c r="I82" s="32"/>
      <c r="J82" s="33"/>
      <c r="K82" s="34" t="s">
        <v>241</v>
      </c>
      <c r="L82" s="9" t="s">
        <v>83</v>
      </c>
      <c r="M82" s="9" t="s">
        <v>84</v>
      </c>
      <c r="O82" t="s">
        <v>91</v>
      </c>
      <c r="P82" s="7" t="s">
        <v>65</v>
      </c>
      <c r="Q82" s="7" t="s">
        <v>64</v>
      </c>
      <c r="R82" s="7" t="s">
        <v>64</v>
      </c>
      <c r="S82" s="7" t="s">
        <v>66</v>
      </c>
      <c r="T82" s="7" t="s">
        <v>67</v>
      </c>
      <c r="U82" s="7" t="s">
        <v>68</v>
      </c>
      <c r="V82" s="7" t="s">
        <v>69</v>
      </c>
      <c r="W82" s="7" t="s">
        <v>70</v>
      </c>
    </row>
    <row r="83" spans="1:23" x14ac:dyDescent="0.4">
      <c r="C83" s="7" t="s">
        <v>183</v>
      </c>
      <c r="D83" s="7" t="s">
        <v>203</v>
      </c>
      <c r="E83" s="6" t="str">
        <f t="shared" si="2"/>
        <v>(회계일자)</v>
      </c>
      <c r="G83" s="15" t="s">
        <v>112</v>
      </c>
      <c r="H83" s="32" t="s">
        <v>110</v>
      </c>
      <c r="I83" s="32"/>
      <c r="J83" s="33"/>
      <c r="K83" s="34" t="s">
        <v>241</v>
      </c>
      <c r="L83" s="9" t="s">
        <v>85</v>
      </c>
      <c r="M83" s="9" t="s">
        <v>86</v>
      </c>
      <c r="O83" t="s">
        <v>91</v>
      </c>
      <c r="P83" s="7" t="s">
        <v>65</v>
      </c>
      <c r="Q83" s="7" t="s">
        <v>64</v>
      </c>
      <c r="R83" s="7" t="s">
        <v>64</v>
      </c>
      <c r="S83" s="7" t="s">
        <v>66</v>
      </c>
      <c r="T83" s="7" t="s">
        <v>67</v>
      </c>
      <c r="U83" s="7" t="s">
        <v>68</v>
      </c>
      <c r="V83" s="7" t="s">
        <v>69</v>
      </c>
      <c r="W83" s="7" t="s">
        <v>70</v>
      </c>
    </row>
    <row r="84" spans="1:23" x14ac:dyDescent="0.4">
      <c r="C84" s="7" t="s">
        <v>184</v>
      </c>
      <c r="D84" s="7" t="s">
        <v>203</v>
      </c>
      <c r="E84" s="6" t="str">
        <f t="shared" si="2"/>
        <v>(회계일자)</v>
      </c>
      <c r="G84" s="15" t="s">
        <v>113</v>
      </c>
      <c r="H84" s="35" t="s">
        <v>109</v>
      </c>
      <c r="I84" s="35"/>
      <c r="J84" s="36"/>
      <c r="K84" s="37" t="s">
        <v>242</v>
      </c>
      <c r="L84" s="9" t="s">
        <v>117</v>
      </c>
      <c r="M84" s="9" t="s">
        <v>118</v>
      </c>
      <c r="N84" s="7" t="s">
        <v>114</v>
      </c>
      <c r="P84" s="7" t="s">
        <v>65</v>
      </c>
      <c r="Q84" s="7" t="s">
        <v>64</v>
      </c>
      <c r="R84" s="7" t="s">
        <v>64</v>
      </c>
      <c r="S84" s="7" t="s">
        <v>66</v>
      </c>
      <c r="T84" s="7" t="s">
        <v>67</v>
      </c>
      <c r="U84" s="7" t="s">
        <v>68</v>
      </c>
      <c r="V84" s="7" t="s">
        <v>69</v>
      </c>
      <c r="W84" s="7" t="s">
        <v>70</v>
      </c>
    </row>
    <row r="85" spans="1:23" x14ac:dyDescent="0.4">
      <c r="C85" s="7" t="s">
        <v>185</v>
      </c>
      <c r="D85" s="7" t="s">
        <v>203</v>
      </c>
      <c r="E85" s="6" t="str">
        <f t="shared" si="2"/>
        <v>(회계일자)</v>
      </c>
      <c r="G85" s="15" t="s">
        <v>112</v>
      </c>
      <c r="H85" s="35" t="s">
        <v>108</v>
      </c>
      <c r="I85" s="35"/>
      <c r="J85" s="36"/>
      <c r="K85" s="37" t="s">
        <v>242</v>
      </c>
      <c r="L85" s="9" t="s">
        <v>115</v>
      </c>
      <c r="M85" s="9" t="s">
        <v>116</v>
      </c>
      <c r="P85" s="7" t="s">
        <v>65</v>
      </c>
      <c r="Q85" s="7" t="s">
        <v>64</v>
      </c>
      <c r="R85" s="7" t="s">
        <v>64</v>
      </c>
      <c r="S85" s="7" t="s">
        <v>66</v>
      </c>
      <c r="T85" s="7" t="s">
        <v>67</v>
      </c>
      <c r="U85" s="7" t="s">
        <v>68</v>
      </c>
      <c r="V85" s="7" t="s">
        <v>69</v>
      </c>
      <c r="W85" s="7" t="s">
        <v>70</v>
      </c>
    </row>
    <row r="86" spans="1:23" x14ac:dyDescent="0.4">
      <c r="C86" s="7" t="s">
        <v>186</v>
      </c>
      <c r="D86" s="7" t="s">
        <v>203</v>
      </c>
      <c r="E86" s="6" t="str">
        <f t="shared" si="2"/>
        <v>(회계일자)</v>
      </c>
      <c r="G86" s="15" t="s">
        <v>112</v>
      </c>
      <c r="H86" s="35" t="s">
        <v>110</v>
      </c>
      <c r="I86" s="35"/>
      <c r="J86" s="36"/>
      <c r="K86" s="37" t="s">
        <v>242</v>
      </c>
      <c r="L86" s="9" t="s">
        <v>71</v>
      </c>
      <c r="M86" s="9" t="s">
        <v>72</v>
      </c>
      <c r="O86" t="s">
        <v>91</v>
      </c>
      <c r="P86" s="7" t="s">
        <v>65</v>
      </c>
      <c r="Q86" s="7" t="s">
        <v>64</v>
      </c>
      <c r="R86" s="7" t="s">
        <v>64</v>
      </c>
      <c r="S86" s="7" t="s">
        <v>66</v>
      </c>
      <c r="T86" s="7" t="s">
        <v>67</v>
      </c>
      <c r="U86" s="7" t="s">
        <v>68</v>
      </c>
      <c r="V86" s="7" t="s">
        <v>69</v>
      </c>
      <c r="W86" s="7" t="s">
        <v>70</v>
      </c>
    </row>
    <row r="87" spans="1:23" x14ac:dyDescent="0.4">
      <c r="C87" s="7" t="s">
        <v>187</v>
      </c>
      <c r="D87" s="7" t="s">
        <v>203</v>
      </c>
      <c r="E87" s="6" t="str">
        <f t="shared" si="2"/>
        <v>(회계일자)</v>
      </c>
      <c r="G87" s="15" t="s">
        <v>112</v>
      </c>
      <c r="H87" s="35" t="s">
        <v>110</v>
      </c>
      <c r="I87" s="35"/>
      <c r="J87" s="36"/>
      <c r="K87" s="37" t="s">
        <v>242</v>
      </c>
      <c r="L87" s="9" t="s">
        <v>73</v>
      </c>
      <c r="M87" s="9" t="s">
        <v>74</v>
      </c>
      <c r="O87" t="s">
        <v>91</v>
      </c>
      <c r="P87" s="7" t="s">
        <v>65</v>
      </c>
      <c r="Q87" s="7" t="s">
        <v>64</v>
      </c>
      <c r="R87" s="7" t="s">
        <v>64</v>
      </c>
      <c r="S87" s="7" t="s">
        <v>66</v>
      </c>
      <c r="T87" s="7" t="s">
        <v>67</v>
      </c>
      <c r="U87" s="7" t="s">
        <v>68</v>
      </c>
      <c r="V87" s="7" t="s">
        <v>69</v>
      </c>
      <c r="W87" s="7" t="s">
        <v>70</v>
      </c>
    </row>
    <row r="88" spans="1:23" x14ac:dyDescent="0.4">
      <c r="C88" s="7" t="s">
        <v>188</v>
      </c>
      <c r="D88" s="7" t="s">
        <v>203</v>
      </c>
      <c r="E88" s="6" t="str">
        <f t="shared" si="2"/>
        <v>(회계일자)</v>
      </c>
      <c r="G88" s="15" t="s">
        <v>112</v>
      </c>
      <c r="H88" s="35" t="s">
        <v>110</v>
      </c>
      <c r="I88" s="35"/>
      <c r="J88" s="36"/>
      <c r="K88" s="37" t="s">
        <v>242</v>
      </c>
      <c r="L88" s="9" t="s">
        <v>75</v>
      </c>
      <c r="M88" s="9" t="s">
        <v>76</v>
      </c>
      <c r="O88" t="s">
        <v>91</v>
      </c>
      <c r="P88" s="7" t="s">
        <v>65</v>
      </c>
      <c r="Q88" s="7" t="s">
        <v>64</v>
      </c>
      <c r="R88" s="7" t="s">
        <v>64</v>
      </c>
      <c r="S88" s="7" t="s">
        <v>66</v>
      </c>
      <c r="T88" s="7" t="s">
        <v>67</v>
      </c>
      <c r="U88" s="7" t="s">
        <v>68</v>
      </c>
      <c r="V88" s="7" t="s">
        <v>69</v>
      </c>
      <c r="W88" s="7" t="s">
        <v>70</v>
      </c>
    </row>
    <row r="89" spans="1:23" x14ac:dyDescent="0.4">
      <c r="C89" s="7" t="s">
        <v>189</v>
      </c>
      <c r="D89" s="7" t="s">
        <v>203</v>
      </c>
      <c r="E89" s="6" t="str">
        <f t="shared" si="2"/>
        <v>(회계일자)</v>
      </c>
      <c r="G89" s="15" t="s">
        <v>112</v>
      </c>
      <c r="H89" s="35" t="s">
        <v>110</v>
      </c>
      <c r="I89" s="35"/>
      <c r="J89" s="36"/>
      <c r="K89" s="37" t="s">
        <v>242</v>
      </c>
      <c r="L89" s="9" t="s">
        <v>77</v>
      </c>
      <c r="M89" s="9" t="s">
        <v>78</v>
      </c>
      <c r="O89" t="s">
        <v>91</v>
      </c>
      <c r="P89" s="7" t="s">
        <v>65</v>
      </c>
      <c r="Q89" s="7" t="s">
        <v>64</v>
      </c>
      <c r="R89" s="7" t="s">
        <v>64</v>
      </c>
      <c r="S89" s="7" t="s">
        <v>66</v>
      </c>
      <c r="T89" s="7" t="s">
        <v>67</v>
      </c>
      <c r="U89" s="7" t="s">
        <v>68</v>
      </c>
      <c r="V89" s="7" t="s">
        <v>69</v>
      </c>
      <c r="W89" s="7" t="s">
        <v>70</v>
      </c>
    </row>
    <row r="90" spans="1:23" x14ac:dyDescent="0.4">
      <c r="C90" s="7" t="s">
        <v>190</v>
      </c>
      <c r="D90" s="7" t="s">
        <v>203</v>
      </c>
      <c r="E90" s="6" t="str">
        <f t="shared" si="2"/>
        <v>(회계일자)</v>
      </c>
      <c r="G90" s="15" t="s">
        <v>112</v>
      </c>
      <c r="H90" s="35" t="s">
        <v>110</v>
      </c>
      <c r="I90" s="35"/>
      <c r="J90" s="36"/>
      <c r="K90" s="37" t="s">
        <v>242</v>
      </c>
      <c r="L90" s="9" t="s">
        <v>79</v>
      </c>
      <c r="M90" s="9" t="s">
        <v>80</v>
      </c>
      <c r="O90" t="s">
        <v>91</v>
      </c>
      <c r="P90" s="7" t="s">
        <v>65</v>
      </c>
      <c r="Q90" s="7" t="s">
        <v>64</v>
      </c>
      <c r="R90" s="7" t="s">
        <v>64</v>
      </c>
      <c r="S90" s="7" t="s">
        <v>66</v>
      </c>
      <c r="T90" s="7" t="s">
        <v>67</v>
      </c>
      <c r="U90" s="7" t="s">
        <v>68</v>
      </c>
      <c r="V90" s="7" t="s">
        <v>69</v>
      </c>
      <c r="W90" s="7" t="s">
        <v>70</v>
      </c>
    </row>
    <row r="91" spans="1:23" x14ac:dyDescent="0.4">
      <c r="C91" s="7" t="s">
        <v>191</v>
      </c>
      <c r="D91" s="7" t="s">
        <v>203</v>
      </c>
      <c r="E91" s="6" t="str">
        <f t="shared" si="2"/>
        <v>(회계일자)</v>
      </c>
      <c r="G91" s="15" t="s">
        <v>112</v>
      </c>
      <c r="H91" s="35" t="s">
        <v>110</v>
      </c>
      <c r="I91" s="35"/>
      <c r="J91" s="36"/>
      <c r="K91" s="37" t="s">
        <v>242</v>
      </c>
      <c r="L91" s="9" t="s">
        <v>81</v>
      </c>
      <c r="M91" s="9" t="s">
        <v>82</v>
      </c>
      <c r="O91" t="s">
        <v>91</v>
      </c>
      <c r="P91" s="7" t="s">
        <v>65</v>
      </c>
      <c r="Q91" s="7" t="s">
        <v>64</v>
      </c>
      <c r="R91" s="7" t="s">
        <v>64</v>
      </c>
      <c r="S91" s="7" t="s">
        <v>66</v>
      </c>
      <c r="T91" s="7" t="s">
        <v>67</v>
      </c>
      <c r="U91" s="7" t="s">
        <v>68</v>
      </c>
      <c r="V91" s="7" t="s">
        <v>69</v>
      </c>
      <c r="W91" s="7" t="s">
        <v>70</v>
      </c>
    </row>
    <row r="92" spans="1:23" x14ac:dyDescent="0.4">
      <c r="C92" s="7" t="s">
        <v>192</v>
      </c>
      <c r="D92" s="7" t="s">
        <v>203</v>
      </c>
      <c r="E92" s="6" t="str">
        <f t="shared" si="2"/>
        <v>(회계일자)</v>
      </c>
      <c r="G92" s="15" t="s">
        <v>112</v>
      </c>
      <c r="H92" s="35" t="s">
        <v>110</v>
      </c>
      <c r="I92" s="35"/>
      <c r="J92" s="36"/>
      <c r="K92" s="37" t="s">
        <v>242</v>
      </c>
      <c r="L92" s="9" t="s">
        <v>83</v>
      </c>
      <c r="M92" s="9" t="s">
        <v>84</v>
      </c>
      <c r="O92" t="s">
        <v>91</v>
      </c>
      <c r="P92" s="7" t="s">
        <v>65</v>
      </c>
      <c r="Q92" s="7" t="s">
        <v>64</v>
      </c>
      <c r="R92" s="7" t="s">
        <v>64</v>
      </c>
      <c r="S92" s="7" t="s">
        <v>66</v>
      </c>
      <c r="T92" s="7" t="s">
        <v>67</v>
      </c>
      <c r="U92" s="7" t="s">
        <v>68</v>
      </c>
      <c r="V92" s="7" t="s">
        <v>69</v>
      </c>
      <c r="W92" s="7" t="s">
        <v>70</v>
      </c>
    </row>
    <row r="93" spans="1:23" x14ac:dyDescent="0.4">
      <c r="C93" s="7" t="s">
        <v>193</v>
      </c>
      <c r="D93" s="7" t="s">
        <v>203</v>
      </c>
      <c r="E93" s="6" t="str">
        <f t="shared" si="2"/>
        <v>(회계일자)</v>
      </c>
      <c r="G93" s="15" t="s">
        <v>112</v>
      </c>
      <c r="H93" s="35" t="s">
        <v>110</v>
      </c>
      <c r="I93" s="35"/>
      <c r="J93" s="36"/>
      <c r="K93" s="37" t="s">
        <v>242</v>
      </c>
      <c r="L93" s="9" t="s">
        <v>85</v>
      </c>
      <c r="M93" s="9" t="s">
        <v>86</v>
      </c>
      <c r="O93" t="s">
        <v>91</v>
      </c>
      <c r="P93" s="7" t="s">
        <v>65</v>
      </c>
      <c r="Q93" s="7" t="s">
        <v>64</v>
      </c>
      <c r="R93" s="7" t="s">
        <v>64</v>
      </c>
      <c r="S93" s="7" t="s">
        <v>66</v>
      </c>
      <c r="T93" s="7" t="s">
        <v>67</v>
      </c>
      <c r="U93" s="7" t="s">
        <v>68</v>
      </c>
      <c r="V93" s="7" t="s">
        <v>69</v>
      </c>
      <c r="W93" s="7" t="s">
        <v>70</v>
      </c>
    </row>
    <row r="94" spans="1:23" s="42" customFormat="1" x14ac:dyDescent="0.4">
      <c r="A94" s="38"/>
      <c r="B94" s="38"/>
      <c r="C94" s="38" t="s">
        <v>194</v>
      </c>
      <c r="D94" s="38" t="s">
        <v>203</v>
      </c>
      <c r="E94" s="39" t="str">
        <f t="shared" ref="E94:E103" si="3">TEXT(D94,"0")</f>
        <v>(회계일자)</v>
      </c>
      <c r="F94" s="38"/>
      <c r="G94" s="40" t="s">
        <v>113</v>
      </c>
      <c r="H94" s="38" t="s">
        <v>109</v>
      </c>
      <c r="I94" s="38"/>
      <c r="J94" s="39"/>
      <c r="K94" s="41" t="s">
        <v>243</v>
      </c>
      <c r="L94" s="41" t="s">
        <v>244</v>
      </c>
      <c r="M94" s="41" t="s">
        <v>116</v>
      </c>
      <c r="N94" s="38" t="s">
        <v>87</v>
      </c>
      <c r="P94" s="38" t="s">
        <v>65</v>
      </c>
      <c r="Q94" s="38" t="s">
        <v>64</v>
      </c>
      <c r="R94" s="38" t="s">
        <v>64</v>
      </c>
      <c r="S94" s="38" t="s">
        <v>65</v>
      </c>
      <c r="T94" s="38" t="s">
        <v>67</v>
      </c>
      <c r="U94" s="38" t="s">
        <v>68</v>
      </c>
      <c r="V94" s="38" t="s">
        <v>69</v>
      </c>
      <c r="W94" s="38" t="s">
        <v>70</v>
      </c>
    </row>
    <row r="95" spans="1:23" s="42" customFormat="1" x14ac:dyDescent="0.4">
      <c r="A95" s="38"/>
      <c r="B95" s="38"/>
      <c r="C95" s="38" t="s">
        <v>195</v>
      </c>
      <c r="D95" s="38" t="s">
        <v>203</v>
      </c>
      <c r="E95" s="39" t="str">
        <f t="shared" si="3"/>
        <v>(회계일자)</v>
      </c>
      <c r="F95" s="38"/>
      <c r="G95" s="40" t="s">
        <v>112</v>
      </c>
      <c r="H95" s="38" t="s">
        <v>108</v>
      </c>
      <c r="I95" s="38"/>
      <c r="J95" s="39"/>
      <c r="K95" s="41" t="s">
        <v>243</v>
      </c>
      <c r="L95" s="41" t="s">
        <v>244</v>
      </c>
      <c r="M95" s="41" t="s">
        <v>116</v>
      </c>
      <c r="N95" s="38"/>
      <c r="P95" s="38" t="s">
        <v>65</v>
      </c>
      <c r="Q95" s="38" t="s">
        <v>64</v>
      </c>
      <c r="R95" s="38" t="s">
        <v>64</v>
      </c>
      <c r="S95" s="38" t="s">
        <v>65</v>
      </c>
      <c r="T95" s="38" t="s">
        <v>67</v>
      </c>
      <c r="U95" s="38" t="s">
        <v>68</v>
      </c>
      <c r="V95" s="38" t="s">
        <v>69</v>
      </c>
      <c r="W95" s="38" t="s">
        <v>70</v>
      </c>
    </row>
    <row r="96" spans="1:23" s="42" customFormat="1" x14ac:dyDescent="0.4">
      <c r="A96" s="38"/>
      <c r="B96" s="38"/>
      <c r="C96" s="38" t="s">
        <v>196</v>
      </c>
      <c r="D96" s="38" t="s">
        <v>203</v>
      </c>
      <c r="E96" s="39" t="str">
        <f t="shared" si="3"/>
        <v>(회계일자)</v>
      </c>
      <c r="F96" s="38"/>
      <c r="G96" s="40" t="s">
        <v>112</v>
      </c>
      <c r="H96" s="38" t="s">
        <v>110</v>
      </c>
      <c r="I96" s="38"/>
      <c r="J96" s="39"/>
      <c r="K96" s="41" t="s">
        <v>243</v>
      </c>
      <c r="L96" s="41" t="s">
        <v>71</v>
      </c>
      <c r="M96" s="41" t="s">
        <v>72</v>
      </c>
      <c r="N96" s="38"/>
      <c r="O96" s="42" t="s">
        <v>91</v>
      </c>
      <c r="P96" s="38" t="s">
        <v>65</v>
      </c>
      <c r="Q96" s="38" t="s">
        <v>64</v>
      </c>
      <c r="R96" s="38" t="s">
        <v>64</v>
      </c>
      <c r="S96" s="38" t="s">
        <v>65</v>
      </c>
      <c r="T96" s="38" t="s">
        <v>67</v>
      </c>
      <c r="U96" s="38" t="s">
        <v>68</v>
      </c>
      <c r="V96" s="38" t="s">
        <v>69</v>
      </c>
      <c r="W96" s="38" t="s">
        <v>70</v>
      </c>
    </row>
    <row r="97" spans="1:23" s="42" customFormat="1" x14ac:dyDescent="0.4">
      <c r="A97" s="38"/>
      <c r="B97" s="38"/>
      <c r="C97" s="38" t="s">
        <v>197</v>
      </c>
      <c r="D97" s="38" t="s">
        <v>203</v>
      </c>
      <c r="E97" s="39" t="str">
        <f t="shared" si="3"/>
        <v>(회계일자)</v>
      </c>
      <c r="F97" s="38"/>
      <c r="G97" s="40" t="s">
        <v>112</v>
      </c>
      <c r="H97" s="38" t="s">
        <v>110</v>
      </c>
      <c r="I97" s="38"/>
      <c r="J97" s="39"/>
      <c r="K97" s="41" t="s">
        <v>243</v>
      </c>
      <c r="L97" s="41" t="s">
        <v>73</v>
      </c>
      <c r="M97" s="41" t="s">
        <v>74</v>
      </c>
      <c r="N97" s="38"/>
      <c r="O97" s="42" t="s">
        <v>91</v>
      </c>
      <c r="P97" s="38" t="s">
        <v>65</v>
      </c>
      <c r="Q97" s="38" t="s">
        <v>64</v>
      </c>
      <c r="R97" s="38" t="s">
        <v>64</v>
      </c>
      <c r="S97" s="38" t="s">
        <v>65</v>
      </c>
      <c r="T97" s="38" t="s">
        <v>67</v>
      </c>
      <c r="U97" s="38" t="s">
        <v>68</v>
      </c>
      <c r="V97" s="38" t="s">
        <v>69</v>
      </c>
      <c r="W97" s="38" t="s">
        <v>70</v>
      </c>
    </row>
    <row r="98" spans="1:23" s="42" customFormat="1" x14ac:dyDescent="0.4">
      <c r="A98" s="38"/>
      <c r="B98" s="38"/>
      <c r="C98" s="38" t="s">
        <v>198</v>
      </c>
      <c r="D98" s="38" t="s">
        <v>203</v>
      </c>
      <c r="E98" s="39" t="str">
        <f t="shared" si="3"/>
        <v>(회계일자)</v>
      </c>
      <c r="F98" s="38"/>
      <c r="G98" s="40" t="s">
        <v>112</v>
      </c>
      <c r="H98" s="38" t="s">
        <v>110</v>
      </c>
      <c r="I98" s="38"/>
      <c r="J98" s="39"/>
      <c r="K98" s="41" t="s">
        <v>243</v>
      </c>
      <c r="L98" s="41" t="s">
        <v>75</v>
      </c>
      <c r="M98" s="41" t="s">
        <v>76</v>
      </c>
      <c r="N98" s="38"/>
      <c r="O98" s="42" t="s">
        <v>91</v>
      </c>
      <c r="P98" s="38" t="s">
        <v>65</v>
      </c>
      <c r="Q98" s="38" t="s">
        <v>64</v>
      </c>
      <c r="R98" s="38" t="s">
        <v>64</v>
      </c>
      <c r="S98" s="38" t="s">
        <v>65</v>
      </c>
      <c r="T98" s="38" t="s">
        <v>67</v>
      </c>
      <c r="U98" s="38" t="s">
        <v>68</v>
      </c>
      <c r="V98" s="38" t="s">
        <v>69</v>
      </c>
      <c r="W98" s="38" t="s">
        <v>70</v>
      </c>
    </row>
    <row r="99" spans="1:23" s="42" customFormat="1" x14ac:dyDescent="0.4">
      <c r="A99" s="38"/>
      <c r="B99" s="38"/>
      <c r="C99" s="38" t="s">
        <v>199</v>
      </c>
      <c r="D99" s="38" t="s">
        <v>203</v>
      </c>
      <c r="E99" s="39" t="str">
        <f t="shared" si="3"/>
        <v>(회계일자)</v>
      </c>
      <c r="F99" s="38"/>
      <c r="G99" s="40" t="s">
        <v>112</v>
      </c>
      <c r="H99" s="38" t="s">
        <v>110</v>
      </c>
      <c r="I99" s="38"/>
      <c r="J99" s="39"/>
      <c r="K99" s="41" t="s">
        <v>243</v>
      </c>
      <c r="L99" s="41" t="s">
        <v>77</v>
      </c>
      <c r="M99" s="41" t="s">
        <v>78</v>
      </c>
      <c r="N99" s="38"/>
      <c r="O99" s="42" t="s">
        <v>91</v>
      </c>
      <c r="P99" s="38" t="s">
        <v>65</v>
      </c>
      <c r="Q99" s="38" t="s">
        <v>64</v>
      </c>
      <c r="R99" s="38" t="s">
        <v>64</v>
      </c>
      <c r="S99" s="38" t="s">
        <v>65</v>
      </c>
      <c r="T99" s="38" t="s">
        <v>67</v>
      </c>
      <c r="U99" s="38" t="s">
        <v>68</v>
      </c>
      <c r="V99" s="38" t="s">
        <v>69</v>
      </c>
      <c r="W99" s="38" t="s">
        <v>70</v>
      </c>
    </row>
    <row r="100" spans="1:23" s="42" customFormat="1" x14ac:dyDescent="0.4">
      <c r="A100" s="38"/>
      <c r="B100" s="38"/>
      <c r="C100" s="38" t="s">
        <v>200</v>
      </c>
      <c r="D100" s="38" t="s">
        <v>203</v>
      </c>
      <c r="E100" s="39" t="str">
        <f t="shared" si="3"/>
        <v>(회계일자)</v>
      </c>
      <c r="F100" s="38"/>
      <c r="G100" s="40" t="s">
        <v>112</v>
      </c>
      <c r="H100" s="38" t="s">
        <v>110</v>
      </c>
      <c r="I100" s="38"/>
      <c r="J100" s="39"/>
      <c r="K100" s="41" t="s">
        <v>243</v>
      </c>
      <c r="L100" s="41" t="s">
        <v>79</v>
      </c>
      <c r="M100" s="41" t="s">
        <v>80</v>
      </c>
      <c r="N100" s="38"/>
      <c r="O100" s="42" t="s">
        <v>91</v>
      </c>
      <c r="P100" s="38" t="s">
        <v>65</v>
      </c>
      <c r="Q100" s="38" t="s">
        <v>64</v>
      </c>
      <c r="R100" s="38" t="s">
        <v>64</v>
      </c>
      <c r="S100" s="38" t="s">
        <v>65</v>
      </c>
      <c r="T100" s="38" t="s">
        <v>67</v>
      </c>
      <c r="U100" s="38" t="s">
        <v>68</v>
      </c>
      <c r="V100" s="38" t="s">
        <v>69</v>
      </c>
      <c r="W100" s="38" t="s">
        <v>70</v>
      </c>
    </row>
    <row r="101" spans="1:23" s="42" customFormat="1" x14ac:dyDescent="0.4">
      <c r="A101" s="38"/>
      <c r="B101" s="38"/>
      <c r="C101" s="38" t="s">
        <v>201</v>
      </c>
      <c r="D101" s="38" t="s">
        <v>203</v>
      </c>
      <c r="E101" s="39" t="str">
        <f t="shared" si="3"/>
        <v>(회계일자)</v>
      </c>
      <c r="F101" s="38"/>
      <c r="G101" s="40" t="s">
        <v>112</v>
      </c>
      <c r="H101" s="38" t="s">
        <v>110</v>
      </c>
      <c r="I101" s="38"/>
      <c r="J101" s="39"/>
      <c r="K101" s="41" t="s">
        <v>243</v>
      </c>
      <c r="L101" s="41" t="s">
        <v>81</v>
      </c>
      <c r="M101" s="41" t="s">
        <v>82</v>
      </c>
      <c r="N101" s="38"/>
      <c r="O101" s="42" t="s">
        <v>91</v>
      </c>
      <c r="P101" s="38" t="s">
        <v>65</v>
      </c>
      <c r="Q101" s="38" t="s">
        <v>64</v>
      </c>
      <c r="R101" s="38" t="s">
        <v>64</v>
      </c>
      <c r="S101" s="38" t="s">
        <v>65</v>
      </c>
      <c r="T101" s="38" t="s">
        <v>67</v>
      </c>
      <c r="U101" s="38" t="s">
        <v>68</v>
      </c>
      <c r="V101" s="38" t="s">
        <v>69</v>
      </c>
      <c r="W101" s="38" t="s">
        <v>70</v>
      </c>
    </row>
    <row r="102" spans="1:23" s="42" customFormat="1" x14ac:dyDescent="0.4">
      <c r="A102" s="38"/>
      <c r="B102" s="38"/>
      <c r="C102" s="38" t="s">
        <v>202</v>
      </c>
      <c r="D102" s="38" t="s">
        <v>203</v>
      </c>
      <c r="E102" s="39" t="str">
        <f t="shared" si="3"/>
        <v>(회계일자)</v>
      </c>
      <c r="F102" s="38"/>
      <c r="G102" s="40" t="s">
        <v>112</v>
      </c>
      <c r="H102" s="38" t="s">
        <v>110</v>
      </c>
      <c r="I102" s="38"/>
      <c r="J102" s="39"/>
      <c r="K102" s="41" t="s">
        <v>243</v>
      </c>
      <c r="L102" s="41" t="s">
        <v>83</v>
      </c>
      <c r="M102" s="41" t="s">
        <v>84</v>
      </c>
      <c r="N102" s="38"/>
      <c r="O102" s="42" t="s">
        <v>91</v>
      </c>
      <c r="P102" s="38" t="s">
        <v>65</v>
      </c>
      <c r="Q102" s="38" t="s">
        <v>64</v>
      </c>
      <c r="R102" s="38" t="s">
        <v>64</v>
      </c>
      <c r="S102" s="38" t="s">
        <v>65</v>
      </c>
      <c r="T102" s="38" t="s">
        <v>67</v>
      </c>
      <c r="U102" s="38" t="s">
        <v>68</v>
      </c>
      <c r="V102" s="38" t="s">
        <v>69</v>
      </c>
      <c r="W102" s="38" t="s">
        <v>70</v>
      </c>
    </row>
    <row r="103" spans="1:23" s="42" customFormat="1" x14ac:dyDescent="0.4">
      <c r="A103" s="38"/>
      <c r="B103" s="38"/>
      <c r="C103" s="38" t="s">
        <v>232</v>
      </c>
      <c r="D103" s="38" t="s">
        <v>203</v>
      </c>
      <c r="E103" s="39" t="str">
        <f t="shared" si="3"/>
        <v>(회계일자)</v>
      </c>
      <c r="F103" s="38"/>
      <c r="G103" s="40" t="s">
        <v>112</v>
      </c>
      <c r="H103" s="38" t="s">
        <v>110</v>
      </c>
      <c r="I103" s="38"/>
      <c r="J103" s="39"/>
      <c r="K103" s="41" t="s">
        <v>243</v>
      </c>
      <c r="L103" s="41" t="s">
        <v>85</v>
      </c>
      <c r="M103" s="41" t="s">
        <v>86</v>
      </c>
      <c r="N103" s="38"/>
      <c r="O103" s="42" t="s">
        <v>91</v>
      </c>
      <c r="P103" s="38" t="s">
        <v>65</v>
      </c>
      <c r="Q103" s="38" t="s">
        <v>64</v>
      </c>
      <c r="R103" s="38" t="s">
        <v>64</v>
      </c>
      <c r="S103" s="38" t="s">
        <v>65</v>
      </c>
      <c r="T103" s="38" t="s">
        <v>67</v>
      </c>
      <c r="U103" s="38" t="s">
        <v>68</v>
      </c>
      <c r="V103" s="38" t="s">
        <v>69</v>
      </c>
      <c r="W103" s="38" t="s">
        <v>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대량전표입력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</cp:lastModifiedBy>
  <dcterms:created xsi:type="dcterms:W3CDTF">2026-03-31T06:12:12Z</dcterms:created>
  <dcterms:modified xsi:type="dcterms:W3CDTF">2026-04-10T01:42:25Z</dcterms:modified>
</cp:coreProperties>
</file>
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35" i="1" l="1"/>
  <c r="U35" i="1"/>
  <c r="T35" i="1"/>
  <c r="S35" i="1"/>
  <c r="R35" i="1"/>
  <c r="Q35" i="1"/>
  <c r="P35" i="1"/>
  <c r="O35" i="1"/>
  <c r="N35" i="1"/>
  <c r="H35" i="1"/>
  <c r="G35" i="1"/>
  <c r="F35" i="1"/>
  <c r="D35" i="1"/>
  <c r="B35" i="1"/>
  <c r="W34" i="1"/>
  <c r="C34" i="1" s="1"/>
  <c r="L34" i="1"/>
  <c r="B34" i="1"/>
  <c r="M34" i="1" s="1"/>
  <c r="W33" i="1"/>
  <c r="C33" i="1" s="1"/>
  <c r="E33" i="1" s="1"/>
  <c r="K33" i="1" s="1"/>
  <c r="M33" i="1"/>
  <c r="L33" i="1"/>
  <c r="I33" i="1"/>
  <c r="W32" i="1"/>
  <c r="C32" i="1" s="1"/>
  <c r="E32" i="1" s="1"/>
  <c r="K32" i="1" s="1"/>
  <c r="M32" i="1"/>
  <c r="L32" i="1"/>
  <c r="I32" i="1"/>
  <c r="W31" i="1"/>
  <c r="C31" i="1" s="1"/>
  <c r="E31" i="1" s="1"/>
  <c r="K31" i="1" s="1"/>
  <c r="M31" i="1"/>
  <c r="L31" i="1"/>
  <c r="I31" i="1"/>
  <c r="W30" i="1"/>
  <c r="C30" i="1" s="1"/>
  <c r="M30" i="1"/>
  <c r="L30" i="1"/>
  <c r="B30" i="1"/>
  <c r="I30" i="1" s="1"/>
  <c r="W29" i="1"/>
  <c r="C29" i="1" s="1"/>
  <c r="E29" i="1" s="1"/>
  <c r="K29" i="1" s="1"/>
  <c r="M29" i="1"/>
  <c r="L29" i="1"/>
  <c r="I29" i="1"/>
  <c r="W28" i="1"/>
  <c r="C28" i="1" s="1"/>
  <c r="E28" i="1" s="1"/>
  <c r="K28" i="1" s="1"/>
  <c r="M28" i="1"/>
  <c r="L28" i="1"/>
  <c r="I28" i="1"/>
  <c r="W27" i="1"/>
  <c r="C27" i="1" s="1"/>
  <c r="E27" i="1" s="1"/>
  <c r="K27" i="1" s="1"/>
  <c r="M27" i="1"/>
  <c r="L27" i="1"/>
  <c r="I27" i="1"/>
  <c r="W26" i="1"/>
  <c r="C26" i="1" s="1"/>
  <c r="E26" i="1" s="1"/>
  <c r="K26" i="1" s="1"/>
  <c r="M26" i="1"/>
  <c r="L26" i="1"/>
  <c r="I26" i="1"/>
  <c r="W25" i="1"/>
  <c r="M25" i="1"/>
  <c r="L25" i="1"/>
  <c r="I25" i="1"/>
  <c r="C25" i="1"/>
  <c r="E25" i="1" s="1"/>
  <c r="K25" i="1" s="1"/>
  <c r="W24" i="1"/>
  <c r="C24" i="1" s="1"/>
  <c r="E24" i="1" s="1"/>
  <c r="K24" i="1" s="1"/>
  <c r="M24" i="1"/>
  <c r="L24" i="1"/>
  <c r="I24" i="1"/>
  <c r="W23" i="1"/>
  <c r="C23" i="1" s="1"/>
  <c r="E23" i="1" s="1"/>
  <c r="K23" i="1" s="1"/>
  <c r="M23" i="1"/>
  <c r="L23" i="1"/>
  <c r="I23" i="1"/>
  <c r="W22" i="1"/>
  <c r="C22" i="1" s="1"/>
  <c r="E22" i="1" s="1"/>
  <c r="K22" i="1" s="1"/>
  <c r="M22" i="1"/>
  <c r="L22" i="1"/>
  <c r="I22" i="1"/>
  <c r="W21" i="1"/>
  <c r="C21" i="1" s="1"/>
  <c r="E21" i="1" s="1"/>
  <c r="K21" i="1" s="1"/>
  <c r="M21" i="1"/>
  <c r="L21" i="1"/>
  <c r="I21" i="1"/>
  <c r="W20" i="1"/>
  <c r="C20" i="1" s="1"/>
  <c r="E20" i="1" s="1"/>
  <c r="K20" i="1" s="1"/>
  <c r="M20" i="1"/>
  <c r="L20" i="1"/>
  <c r="I20" i="1"/>
  <c r="W19" i="1"/>
  <c r="C19" i="1" s="1"/>
  <c r="E19" i="1" s="1"/>
  <c r="K19" i="1" s="1"/>
  <c r="M19" i="1"/>
  <c r="L19" i="1"/>
  <c r="I19" i="1"/>
  <c r="W18" i="1"/>
  <c r="M18" i="1"/>
  <c r="L18" i="1"/>
  <c r="I18" i="1"/>
  <c r="C18" i="1"/>
  <c r="E18" i="1" s="1"/>
  <c r="K18" i="1" s="1"/>
  <c r="W17" i="1"/>
  <c r="C17" i="1" s="1"/>
  <c r="E17" i="1" s="1"/>
  <c r="K17" i="1" s="1"/>
  <c r="M17" i="1"/>
  <c r="L17" i="1"/>
  <c r="I17" i="1"/>
  <c r="W16" i="1"/>
  <c r="C16" i="1" s="1"/>
  <c r="E16" i="1" s="1"/>
  <c r="K16" i="1" s="1"/>
  <c r="M16" i="1"/>
  <c r="L16" i="1"/>
  <c r="I16" i="1"/>
  <c r="W15" i="1"/>
  <c r="C15" i="1" s="1"/>
  <c r="E15" i="1" s="1"/>
  <c r="K15" i="1" s="1"/>
  <c r="M15" i="1"/>
  <c r="L15" i="1"/>
  <c r="I15" i="1"/>
  <c r="W14" i="1"/>
  <c r="C14" i="1" s="1"/>
  <c r="E14" i="1" s="1"/>
  <c r="K14" i="1" s="1"/>
  <c r="M14" i="1"/>
  <c r="L14" i="1"/>
  <c r="I14" i="1"/>
  <c r="W13" i="1"/>
  <c r="C13" i="1" s="1"/>
  <c r="E13" i="1" s="1"/>
  <c r="K13" i="1" s="1"/>
  <c r="M13" i="1"/>
  <c r="L13" i="1"/>
  <c r="I13" i="1"/>
  <c r="W12" i="1"/>
  <c r="M12" i="1"/>
  <c r="L12" i="1"/>
  <c r="I12" i="1"/>
  <c r="C12" i="1"/>
  <c r="E12" i="1" s="1"/>
  <c r="K12" i="1" s="1"/>
  <c r="W11" i="1"/>
  <c r="C11" i="1" s="1"/>
  <c r="E11" i="1" s="1"/>
  <c r="K11" i="1" s="1"/>
  <c r="M11" i="1"/>
  <c r="L11" i="1"/>
  <c r="I11" i="1"/>
  <c r="W10" i="1"/>
  <c r="C10" i="1" s="1"/>
  <c r="E10" i="1" s="1"/>
  <c r="K10" i="1" s="1"/>
  <c r="M10" i="1"/>
  <c r="L10" i="1"/>
  <c r="I10" i="1"/>
  <c r="W9" i="1"/>
  <c r="C9" i="1" s="1"/>
  <c r="E9" i="1" s="1"/>
  <c r="K9" i="1" s="1"/>
  <c r="M9" i="1"/>
  <c r="L9" i="1"/>
  <c r="I9" i="1"/>
  <c r="W8" i="1"/>
  <c r="C8" i="1" s="1"/>
  <c r="E8" i="1" s="1"/>
  <c r="K8" i="1" s="1"/>
  <c r="M8" i="1"/>
  <c r="L8" i="1"/>
  <c r="I8" i="1"/>
  <c r="W7" i="1"/>
  <c r="C7" i="1" s="1"/>
  <c r="E7" i="1" s="1"/>
  <c r="K7" i="1" s="1"/>
  <c r="M7" i="1"/>
  <c r="L7" i="1"/>
  <c r="I7" i="1"/>
  <c r="W6" i="1"/>
  <c r="C6" i="1" s="1"/>
  <c r="E6" i="1" s="1"/>
  <c r="K6" i="1" s="1"/>
  <c r="M6" i="1"/>
  <c r="L6" i="1"/>
  <c r="I6" i="1"/>
  <c r="W5" i="1"/>
  <c r="C5" i="1" s="1"/>
  <c r="E5" i="1" s="1"/>
  <c r="K5" i="1" s="1"/>
  <c r="M5" i="1"/>
  <c r="L5" i="1"/>
  <c r="I5" i="1"/>
  <c r="W4" i="1"/>
  <c r="C4" i="1" s="1"/>
  <c r="L4" i="1"/>
  <c r="B4" i="1"/>
  <c r="E4" i="1" s="1"/>
  <c r="I4" i="1" l="1"/>
  <c r="L35" i="1"/>
  <c r="K4" i="1"/>
  <c r="C35" i="1"/>
  <c r="M4" i="1"/>
  <c r="M35" i="1" s="1"/>
  <c r="E34" i="1"/>
  <c r="K34" i="1" s="1"/>
  <c r="I34" i="1"/>
  <c r="I35" i="1" s="1"/>
  <c r="W35" i="1"/>
  <c r="E30" i="1"/>
  <c r="K30" i="1" s="1"/>
  <c r="E35" i="1" l="1"/>
  <c r="K35" i="1"/>
</calcChain>
</file>

<file path=xl/comments1.xml><?xml version="1.0" encoding="utf-8"?>
<comments xmlns="http://schemas.openxmlformats.org/spreadsheetml/2006/main">
  <authors>
    <author>만든 이</author>
  </authors>
  <commentList>
    <comment ref="B4" authorId="0" shapeId="0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현금매출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요청
</t>
        </r>
        <r>
          <rPr>
            <sz val="9"/>
            <color indexed="81"/>
            <rFont val="Tahoma"/>
            <family val="2"/>
          </rPr>
          <t>69,000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반영완료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B34" authorId="0" shapeId="0">
      <text>
        <r>
          <rPr>
            <sz val="9"/>
            <color indexed="81"/>
            <rFont val="Tahoma"/>
            <family val="2"/>
          </rPr>
          <t>800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미반영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>3/27</t>
        </r>
        <r>
          <rPr>
            <sz val="9"/>
            <color indexed="81"/>
            <rFont val="돋움"/>
            <family val="3"/>
            <charset val="129"/>
          </rPr>
          <t>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추가함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<sst xmlns="http://schemas.openxmlformats.org/spreadsheetml/2006/main" count="31" uniqueCount="29">
  <si>
    <t>033138</t>
    <phoneticPr fontId="4" type="noConversion"/>
  </si>
  <si>
    <t>007072</t>
    <phoneticPr fontId="4" type="noConversion"/>
  </si>
  <si>
    <t>037726</t>
    <phoneticPr fontId="4" type="noConversion"/>
  </si>
  <si>
    <t>015419</t>
    <phoneticPr fontId="4" type="noConversion"/>
  </si>
  <si>
    <t>072014</t>
    <phoneticPr fontId="4" type="noConversion"/>
  </si>
  <si>
    <t>045602</t>
    <phoneticPr fontId="4" type="noConversion"/>
  </si>
  <si>
    <t>054231</t>
    <phoneticPr fontId="4" type="noConversion"/>
  </si>
  <si>
    <t>일   자</t>
    <phoneticPr fontId="4" type="noConversion"/>
  </si>
  <si>
    <t>현금</t>
    <phoneticPr fontId="4" type="noConversion"/>
  </si>
  <si>
    <t>카드</t>
    <phoneticPr fontId="4" type="noConversion"/>
  </si>
  <si>
    <t>할인</t>
    <phoneticPr fontId="4" type="noConversion"/>
  </si>
  <si>
    <t>총매출액</t>
    <phoneticPr fontId="4" type="noConversion"/>
  </si>
  <si>
    <t>입금기한</t>
    <phoneticPr fontId="4" type="noConversion"/>
  </si>
  <si>
    <t>입금일자</t>
    <phoneticPr fontId="4" type="noConversion"/>
  </si>
  <si>
    <t>입금금액</t>
    <phoneticPr fontId="4" type="noConversion"/>
  </si>
  <si>
    <t>잔액</t>
    <phoneticPr fontId="4" type="noConversion"/>
  </si>
  <si>
    <t>할인</t>
    <phoneticPr fontId="4" type="noConversion"/>
  </si>
  <si>
    <t>하나</t>
    <phoneticPr fontId="4" type="noConversion"/>
  </si>
  <si>
    <t>위쳇페이</t>
    <phoneticPr fontId="4" type="noConversion"/>
  </si>
  <si>
    <t>KB국민</t>
    <phoneticPr fontId="4" type="noConversion"/>
  </si>
  <si>
    <t>NH농협</t>
    <phoneticPr fontId="4" type="noConversion"/>
  </si>
  <si>
    <t>비씨</t>
    <phoneticPr fontId="4" type="noConversion"/>
  </si>
  <si>
    <t>현대</t>
    <phoneticPr fontId="4" type="noConversion"/>
  </si>
  <si>
    <t>신한</t>
    <phoneticPr fontId="4" type="noConversion"/>
  </si>
  <si>
    <t>삼성</t>
    <phoneticPr fontId="4" type="noConversion"/>
  </si>
  <si>
    <t>롯데</t>
    <phoneticPr fontId="4" type="noConversion"/>
  </si>
  <si>
    <t>합계</t>
    <phoneticPr fontId="4" type="noConversion"/>
  </si>
  <si>
    <t>합 계</t>
  </si>
  <si>
    <t>테라로사 서울역점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</si>
</sst>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m&quot;/&quot;d;@"/>
    <numFmt numFmtId="177" formatCode="0_);[Red]\(0\)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u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DE8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41" fontId="5" fillId="0" borderId="0" xfId="1" applyFont="1" applyFill="1">
      <alignment vertical="center"/>
    </xf>
    <xf numFmtId="0" fontId="6" fillId="2" borderId="0" xfId="0" applyNumberFormat="1" applyFont="1" applyFill="1" applyAlignment="1">
      <alignment horizontal="center" vertical="center"/>
    </xf>
    <xf numFmtId="0" fontId="6" fillId="2" borderId="0" xfId="0" quotePrefix="1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41" fontId="5" fillId="4" borderId="4" xfId="1" applyFont="1" applyFill="1" applyBorder="1">
      <alignment vertical="center"/>
    </xf>
    <xf numFmtId="41" fontId="5" fillId="5" borderId="4" xfId="1" applyFont="1" applyFill="1" applyBorder="1">
      <alignment vertical="center"/>
    </xf>
    <xf numFmtId="41" fontId="5" fillId="0" borderId="4" xfId="1" applyFont="1" applyFill="1" applyBorder="1">
      <alignment vertical="center"/>
    </xf>
    <xf numFmtId="41" fontId="5" fillId="3" borderId="4" xfId="1" applyFont="1" applyFill="1" applyBorder="1">
      <alignment vertical="center"/>
    </xf>
    <xf numFmtId="176" fontId="5" fillId="0" borderId="5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41" fontId="5" fillId="5" borderId="6" xfId="1" applyFont="1" applyFill="1" applyBorder="1">
      <alignment vertical="center"/>
    </xf>
    <xf numFmtId="41" fontId="5" fillId="0" borderId="7" xfId="1" applyFont="1" applyFill="1" applyBorder="1">
      <alignment vertical="center"/>
    </xf>
    <xf numFmtId="41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0" xfId="0" applyNumberFormat="1" applyFont="1" applyFill="1" applyAlignment="1">
      <alignment vertical="center"/>
    </xf>
    <xf numFmtId="49" fontId="5" fillId="0" borderId="0" xfId="1" applyNumberFormat="1" applyFont="1" applyFill="1" applyAlignment="1">
      <alignment horizontal="center" vertical="center"/>
    </xf>
    <xf numFmtId="41" fontId="7" fillId="0" borderId="0" xfId="1" applyFont="1" applyFill="1">
      <alignment vertical="center"/>
    </xf>
    <xf numFmtId="14" fontId="5" fillId="0" borderId="0" xfId="0" applyNumberFormat="1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6"/>
  <sheetViews>
    <sheetView tabSelected="1" workbookViewId="0">
      <selection activeCell="F10" sqref="F10"/>
    </sheetView>
  </sheetViews>
  <sheetFormatPr defaultColWidth="8.8984375" defaultRowHeight="15.6" x14ac:dyDescent="0.4"/>
  <cols>
    <col min="1" max="1" width="10.8984375" style="3" customWidth="1"/>
    <col min="2" max="2" width="11.3984375" style="2" customWidth="1"/>
    <col min="3" max="3" width="11.8984375" style="2" bestFit="1" customWidth="1"/>
    <col min="4" max="4" width="10.796875" style="2" customWidth="1"/>
    <col min="5" max="5" width="11.59765625" style="2" customWidth="1"/>
    <col min="6" max="7" width="11.8984375" style="4" customWidth="1"/>
    <col min="8" max="8" width="11.796875" style="2" customWidth="1"/>
    <col min="9" max="9" width="11.19921875" style="2" customWidth="1"/>
    <col min="10" max="10" width="3.3984375" style="4" customWidth="1"/>
    <col min="11" max="11" width="11.8984375" style="4" bestFit="1" customWidth="1"/>
    <col min="12" max="12" width="11.8984375" style="27" bestFit="1" customWidth="1"/>
    <col min="13" max="13" width="12.69921875" style="4" customWidth="1"/>
    <col min="14" max="14" width="11.8984375" style="4" bestFit="1" customWidth="1"/>
    <col min="15" max="15" width="11.8984375" style="4" customWidth="1"/>
    <col min="16" max="17" width="10.8984375" style="2" bestFit="1" customWidth="1"/>
    <col min="18" max="18" width="11.8984375" style="2" bestFit="1" customWidth="1"/>
    <col min="19" max="21" width="10.8984375" style="2" bestFit="1" customWidth="1"/>
    <col min="22" max="22" width="9.8984375" style="2" bestFit="1" customWidth="1"/>
    <col min="23" max="23" width="12.3984375" style="2" customWidth="1"/>
    <col min="24" max="16384" width="8.8984375" style="2"/>
  </cols>
  <sheetData>
    <row r="1" spans="1:24" ht="28.5" customHeight="1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4" ht="16.2" thickBot="1" x14ac:dyDescent="0.45">
      <c r="F2" s="2"/>
      <c r="G2" s="2"/>
      <c r="H2" s="4"/>
      <c r="I2" s="4"/>
      <c r="J2" s="2"/>
      <c r="K2" s="2"/>
      <c r="L2" s="2"/>
      <c r="M2" s="2"/>
      <c r="N2" s="5">
        <v>1048656659</v>
      </c>
      <c r="O2" s="5">
        <v>119948</v>
      </c>
      <c r="P2" s="6" t="s">
        <v>0</v>
      </c>
      <c r="Q2" s="6" t="s">
        <v>1</v>
      </c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X2" s="7"/>
    </row>
    <row r="3" spans="1:24" s="7" customFormat="1" ht="22.5" customHeight="1" x14ac:dyDescent="0.4">
      <c r="A3" s="8" t="s">
        <v>7</v>
      </c>
      <c r="B3" s="8" t="s">
        <v>8</v>
      </c>
      <c r="C3" s="9" t="s">
        <v>9</v>
      </c>
      <c r="D3" s="8" t="s">
        <v>10</v>
      </c>
      <c r="E3" s="10" t="s">
        <v>11</v>
      </c>
      <c r="F3" s="8" t="s">
        <v>12</v>
      </c>
      <c r="G3" s="11" t="s">
        <v>13</v>
      </c>
      <c r="H3" s="12" t="s">
        <v>14</v>
      </c>
      <c r="I3" s="13" t="s">
        <v>15</v>
      </c>
      <c r="K3" s="7" t="s">
        <v>11</v>
      </c>
      <c r="L3" s="7" t="s">
        <v>16</v>
      </c>
      <c r="M3" s="7" t="s">
        <v>8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7" t="s">
        <v>26</v>
      </c>
      <c r="X3" s="2"/>
    </row>
    <row r="4" spans="1:24" ht="19.95" customHeight="1" x14ac:dyDescent="0.4">
      <c r="A4" s="14">
        <v>46082</v>
      </c>
      <c r="B4" s="15">
        <f>69000+165400</f>
        <v>234400</v>
      </c>
      <c r="C4" s="16">
        <f>W4</f>
        <v>10204300</v>
      </c>
      <c r="D4" s="17">
        <v>0</v>
      </c>
      <c r="E4" s="18">
        <f>SUM(B4:D4)</f>
        <v>10438700</v>
      </c>
      <c r="F4" s="19"/>
      <c r="G4" s="20"/>
      <c r="H4" s="21"/>
      <c r="I4" s="22">
        <f>B4-H4</f>
        <v>234400</v>
      </c>
      <c r="J4" s="2"/>
      <c r="K4" s="23">
        <f>E4</f>
        <v>10438700</v>
      </c>
      <c r="L4" s="23">
        <f>-D4</f>
        <v>0</v>
      </c>
      <c r="M4" s="23">
        <f>B4</f>
        <v>234400</v>
      </c>
      <c r="N4" s="4">
        <v>1290400</v>
      </c>
      <c r="O4" s="4">
        <v>0</v>
      </c>
      <c r="P4" s="4">
        <v>2021000</v>
      </c>
      <c r="Q4" s="4">
        <v>807300</v>
      </c>
      <c r="R4" s="4">
        <v>1753000</v>
      </c>
      <c r="S4" s="4">
        <v>1363600</v>
      </c>
      <c r="T4" s="4">
        <v>1423400</v>
      </c>
      <c r="U4" s="4">
        <v>1276700</v>
      </c>
      <c r="V4" s="4">
        <v>268900</v>
      </c>
      <c r="W4" s="4">
        <f>SUM(N4:V4)</f>
        <v>10204300</v>
      </c>
    </row>
    <row r="5" spans="1:24" ht="19.95" customHeight="1" x14ac:dyDescent="0.4">
      <c r="A5" s="14">
        <v>46083</v>
      </c>
      <c r="B5" s="16">
        <v>99300</v>
      </c>
      <c r="C5" s="16">
        <f t="shared" ref="C5:C34" si="0">W5</f>
        <v>9627600</v>
      </c>
      <c r="D5" s="17">
        <v>0</v>
      </c>
      <c r="E5" s="18">
        <f t="shared" ref="E5:E34" si="1">SUM(B5:D5)</f>
        <v>9726900</v>
      </c>
      <c r="F5" s="19"/>
      <c r="G5" s="20"/>
      <c r="H5" s="21"/>
      <c r="I5" s="22">
        <f t="shared" ref="I5:I34" si="2">B5-H5</f>
        <v>99300</v>
      </c>
      <c r="J5" s="2"/>
      <c r="K5" s="23">
        <f t="shared" ref="K5:K34" si="3">E5</f>
        <v>9726900</v>
      </c>
      <c r="L5" s="23">
        <f t="shared" ref="L5:L34" si="4">-D5</f>
        <v>0</v>
      </c>
      <c r="M5" s="23">
        <f t="shared" ref="M5:M34" si="5">B5</f>
        <v>99300</v>
      </c>
      <c r="N5" s="4">
        <v>1153500</v>
      </c>
      <c r="O5" s="4">
        <v>0</v>
      </c>
      <c r="P5" s="4">
        <v>2068200</v>
      </c>
      <c r="Q5" s="4">
        <v>533400</v>
      </c>
      <c r="R5" s="4">
        <v>1658000</v>
      </c>
      <c r="S5" s="4">
        <v>1457700</v>
      </c>
      <c r="T5" s="4">
        <v>1460200</v>
      </c>
      <c r="U5" s="4">
        <v>977200</v>
      </c>
      <c r="V5" s="4">
        <v>319400</v>
      </c>
      <c r="W5" s="4">
        <f t="shared" ref="W5:W34" si="6">SUM(N5:V5)</f>
        <v>9627600</v>
      </c>
    </row>
    <row r="6" spans="1:24" ht="19.95" customHeight="1" x14ac:dyDescent="0.4">
      <c r="A6" s="14">
        <v>46084</v>
      </c>
      <c r="B6" s="16">
        <v>68600</v>
      </c>
      <c r="C6" s="16">
        <f t="shared" si="0"/>
        <v>5048800</v>
      </c>
      <c r="D6" s="17">
        <v>0</v>
      </c>
      <c r="E6" s="18">
        <f t="shared" si="1"/>
        <v>5117400</v>
      </c>
      <c r="F6" s="19"/>
      <c r="G6" s="20"/>
      <c r="H6" s="21"/>
      <c r="I6" s="22">
        <f t="shared" si="2"/>
        <v>68600</v>
      </c>
      <c r="J6" s="2"/>
      <c r="K6" s="23">
        <f t="shared" si="3"/>
        <v>5117400</v>
      </c>
      <c r="L6" s="23">
        <f t="shared" si="4"/>
        <v>0</v>
      </c>
      <c r="M6" s="23">
        <f t="shared" si="5"/>
        <v>68600</v>
      </c>
      <c r="N6" s="4">
        <v>833200</v>
      </c>
      <c r="O6" s="4">
        <v>0</v>
      </c>
      <c r="P6" s="4">
        <v>852200</v>
      </c>
      <c r="Q6" s="4">
        <v>356200</v>
      </c>
      <c r="R6" s="4">
        <v>1132300</v>
      </c>
      <c r="S6" s="4">
        <v>618200</v>
      </c>
      <c r="T6" s="4">
        <v>697500</v>
      </c>
      <c r="U6" s="4">
        <v>329000</v>
      </c>
      <c r="V6" s="4">
        <v>230200</v>
      </c>
      <c r="W6" s="4">
        <f t="shared" si="6"/>
        <v>5048800</v>
      </c>
    </row>
    <row r="7" spans="1:24" ht="19.95" customHeight="1" x14ac:dyDescent="0.4">
      <c r="A7" s="14">
        <v>46085</v>
      </c>
      <c r="B7" s="16">
        <v>108600</v>
      </c>
      <c r="C7" s="16">
        <f t="shared" si="0"/>
        <v>6412400</v>
      </c>
      <c r="D7" s="17">
        <v>0</v>
      </c>
      <c r="E7" s="18">
        <f t="shared" si="1"/>
        <v>6521000</v>
      </c>
      <c r="F7" s="19"/>
      <c r="G7" s="20"/>
      <c r="H7" s="21"/>
      <c r="I7" s="22">
        <f t="shared" si="2"/>
        <v>108600</v>
      </c>
      <c r="J7" s="2"/>
      <c r="K7" s="23">
        <f t="shared" si="3"/>
        <v>6521000</v>
      </c>
      <c r="L7" s="23">
        <f t="shared" si="4"/>
        <v>0</v>
      </c>
      <c r="M7" s="23">
        <f t="shared" si="5"/>
        <v>108600</v>
      </c>
      <c r="N7" s="4">
        <v>852800</v>
      </c>
      <c r="O7" s="4">
        <v>0</v>
      </c>
      <c r="P7" s="4">
        <v>1138500</v>
      </c>
      <c r="Q7" s="4">
        <v>483600</v>
      </c>
      <c r="R7" s="4">
        <v>1215900</v>
      </c>
      <c r="S7" s="4">
        <v>684700</v>
      </c>
      <c r="T7" s="4">
        <v>1150300</v>
      </c>
      <c r="U7" s="4">
        <v>641000</v>
      </c>
      <c r="V7" s="4">
        <v>245600</v>
      </c>
      <c r="W7" s="4">
        <f t="shared" si="6"/>
        <v>6412400</v>
      </c>
    </row>
    <row r="8" spans="1:24" ht="19.95" customHeight="1" x14ac:dyDescent="0.4">
      <c r="A8" s="14">
        <v>46086</v>
      </c>
      <c r="B8" s="16">
        <v>102800</v>
      </c>
      <c r="C8" s="16">
        <f t="shared" si="0"/>
        <v>7602330</v>
      </c>
      <c r="D8" s="17">
        <v>0</v>
      </c>
      <c r="E8" s="18">
        <f t="shared" si="1"/>
        <v>7705130</v>
      </c>
      <c r="F8" s="19"/>
      <c r="G8" s="20"/>
      <c r="H8" s="21"/>
      <c r="I8" s="22">
        <f t="shared" si="2"/>
        <v>102800</v>
      </c>
      <c r="J8" s="2"/>
      <c r="K8" s="23">
        <f t="shared" si="3"/>
        <v>7705130</v>
      </c>
      <c r="L8" s="23">
        <f t="shared" si="4"/>
        <v>0</v>
      </c>
      <c r="M8" s="23">
        <f t="shared" si="5"/>
        <v>102800</v>
      </c>
      <c r="N8" s="4">
        <v>972900</v>
      </c>
      <c r="O8" s="4">
        <v>0</v>
      </c>
      <c r="P8" s="4">
        <v>1099900</v>
      </c>
      <c r="Q8" s="4">
        <v>498300</v>
      </c>
      <c r="R8" s="4">
        <v>1936950</v>
      </c>
      <c r="S8" s="4">
        <v>1097680</v>
      </c>
      <c r="T8" s="4">
        <v>981400</v>
      </c>
      <c r="U8" s="4">
        <v>688800</v>
      </c>
      <c r="V8" s="4">
        <v>326400</v>
      </c>
      <c r="W8" s="4">
        <f t="shared" si="6"/>
        <v>7602330</v>
      </c>
    </row>
    <row r="9" spans="1:24" ht="19.95" customHeight="1" x14ac:dyDescent="0.4">
      <c r="A9" s="14">
        <v>46087</v>
      </c>
      <c r="B9" s="16">
        <v>76300</v>
      </c>
      <c r="C9" s="16">
        <f t="shared" si="0"/>
        <v>9008190</v>
      </c>
      <c r="D9" s="17">
        <v>0</v>
      </c>
      <c r="E9" s="18">
        <f t="shared" si="1"/>
        <v>9084490</v>
      </c>
      <c r="F9" s="19"/>
      <c r="G9" s="20"/>
      <c r="H9" s="21"/>
      <c r="I9" s="22">
        <f t="shared" si="2"/>
        <v>76300</v>
      </c>
      <c r="J9" s="2"/>
      <c r="K9" s="23">
        <f t="shared" si="3"/>
        <v>9084490</v>
      </c>
      <c r="L9" s="23">
        <f t="shared" si="4"/>
        <v>0</v>
      </c>
      <c r="M9" s="23">
        <f t="shared" si="5"/>
        <v>76300</v>
      </c>
      <c r="N9" s="4">
        <v>1118900</v>
      </c>
      <c r="O9" s="4">
        <v>0</v>
      </c>
      <c r="P9" s="4">
        <v>1504400</v>
      </c>
      <c r="Q9" s="4">
        <v>551200</v>
      </c>
      <c r="R9" s="4">
        <v>1889590</v>
      </c>
      <c r="S9" s="4">
        <v>865900</v>
      </c>
      <c r="T9" s="4">
        <v>1547200</v>
      </c>
      <c r="U9" s="4">
        <v>1056400</v>
      </c>
      <c r="V9" s="4">
        <v>474600</v>
      </c>
      <c r="W9" s="4">
        <f t="shared" si="6"/>
        <v>9008190</v>
      </c>
      <c r="X9" s="24"/>
    </row>
    <row r="10" spans="1:24" s="24" customFormat="1" ht="19.95" customHeight="1" x14ac:dyDescent="0.4">
      <c r="A10" s="14">
        <v>46088</v>
      </c>
      <c r="B10" s="16">
        <v>81000</v>
      </c>
      <c r="C10" s="16">
        <f t="shared" si="0"/>
        <v>9897800</v>
      </c>
      <c r="D10" s="17">
        <v>0</v>
      </c>
      <c r="E10" s="18">
        <f t="shared" si="1"/>
        <v>9978800</v>
      </c>
      <c r="F10" s="19"/>
      <c r="G10" s="20"/>
      <c r="H10" s="21"/>
      <c r="I10" s="22">
        <f t="shared" si="2"/>
        <v>81000</v>
      </c>
      <c r="J10" s="2"/>
      <c r="K10" s="23">
        <f t="shared" si="3"/>
        <v>9978800</v>
      </c>
      <c r="L10" s="23">
        <f t="shared" si="4"/>
        <v>0</v>
      </c>
      <c r="M10" s="23">
        <f t="shared" si="5"/>
        <v>81000</v>
      </c>
      <c r="N10" s="4">
        <v>1294000</v>
      </c>
      <c r="O10" s="4">
        <v>0</v>
      </c>
      <c r="P10" s="4">
        <v>1776000</v>
      </c>
      <c r="Q10" s="4">
        <v>825100</v>
      </c>
      <c r="R10" s="4">
        <v>1849800</v>
      </c>
      <c r="S10" s="4">
        <v>1294000</v>
      </c>
      <c r="T10" s="4">
        <v>1354200</v>
      </c>
      <c r="U10" s="4">
        <v>1014100</v>
      </c>
      <c r="V10" s="4">
        <v>490600</v>
      </c>
      <c r="W10" s="4">
        <f t="shared" si="6"/>
        <v>9897800</v>
      </c>
      <c r="X10" s="2"/>
    </row>
    <row r="11" spans="1:24" ht="19.95" customHeight="1" x14ac:dyDescent="0.4">
      <c r="A11" s="14">
        <v>46089</v>
      </c>
      <c r="B11" s="16">
        <v>115100</v>
      </c>
      <c r="C11" s="16">
        <f t="shared" si="0"/>
        <v>8930500</v>
      </c>
      <c r="D11" s="17">
        <v>0</v>
      </c>
      <c r="E11" s="18">
        <f t="shared" si="1"/>
        <v>9045600</v>
      </c>
      <c r="F11" s="19"/>
      <c r="G11" s="20"/>
      <c r="H11" s="21"/>
      <c r="I11" s="22">
        <f t="shared" si="2"/>
        <v>115100</v>
      </c>
      <c r="J11" s="2"/>
      <c r="K11" s="23">
        <f t="shared" si="3"/>
        <v>9045600</v>
      </c>
      <c r="L11" s="23">
        <f t="shared" si="4"/>
        <v>0</v>
      </c>
      <c r="M11" s="23">
        <f t="shared" si="5"/>
        <v>115100</v>
      </c>
      <c r="N11" s="4">
        <v>1420700</v>
      </c>
      <c r="O11" s="4">
        <v>0</v>
      </c>
      <c r="P11" s="4">
        <v>1921300</v>
      </c>
      <c r="Q11" s="4">
        <v>552700</v>
      </c>
      <c r="R11" s="4">
        <v>1293100</v>
      </c>
      <c r="S11" s="4">
        <v>1026300</v>
      </c>
      <c r="T11" s="4">
        <v>1365200</v>
      </c>
      <c r="U11" s="4">
        <v>830700</v>
      </c>
      <c r="V11" s="4">
        <v>520500</v>
      </c>
      <c r="W11" s="4">
        <f t="shared" si="6"/>
        <v>8930500</v>
      </c>
    </row>
    <row r="12" spans="1:24" ht="19.95" customHeight="1" x14ac:dyDescent="0.4">
      <c r="A12" s="14">
        <v>46090</v>
      </c>
      <c r="B12" s="16">
        <v>105800</v>
      </c>
      <c r="C12" s="16">
        <f t="shared" si="0"/>
        <v>6556500</v>
      </c>
      <c r="D12" s="17">
        <v>0</v>
      </c>
      <c r="E12" s="18">
        <f t="shared" si="1"/>
        <v>6662300</v>
      </c>
      <c r="F12" s="19"/>
      <c r="G12" s="20"/>
      <c r="H12" s="21"/>
      <c r="I12" s="22">
        <f t="shared" si="2"/>
        <v>105800</v>
      </c>
      <c r="J12" s="2"/>
      <c r="K12" s="23">
        <f t="shared" si="3"/>
        <v>6662300</v>
      </c>
      <c r="L12" s="23">
        <f t="shared" si="4"/>
        <v>0</v>
      </c>
      <c r="M12" s="23">
        <f t="shared" si="5"/>
        <v>105800</v>
      </c>
      <c r="N12" s="4">
        <v>1257300</v>
      </c>
      <c r="O12" s="4">
        <v>0</v>
      </c>
      <c r="P12" s="4">
        <v>1066300</v>
      </c>
      <c r="Q12" s="4">
        <v>580500</v>
      </c>
      <c r="R12" s="4">
        <v>1358600</v>
      </c>
      <c r="S12" s="4">
        <v>687000</v>
      </c>
      <c r="T12" s="4">
        <v>889700</v>
      </c>
      <c r="U12" s="4">
        <v>405400</v>
      </c>
      <c r="V12" s="4">
        <v>311700</v>
      </c>
      <c r="W12" s="4">
        <f t="shared" si="6"/>
        <v>6556500</v>
      </c>
    </row>
    <row r="13" spans="1:24" ht="19.95" customHeight="1" x14ac:dyDescent="0.4">
      <c r="A13" s="14">
        <v>46091</v>
      </c>
      <c r="B13" s="16">
        <v>131300</v>
      </c>
      <c r="C13" s="16">
        <f t="shared" si="0"/>
        <v>7746900</v>
      </c>
      <c r="D13" s="17">
        <v>0</v>
      </c>
      <c r="E13" s="18">
        <f t="shared" si="1"/>
        <v>7878200</v>
      </c>
      <c r="F13" s="19"/>
      <c r="G13" s="20"/>
      <c r="H13" s="21"/>
      <c r="I13" s="22">
        <f t="shared" si="2"/>
        <v>131300</v>
      </c>
      <c r="J13" s="2"/>
      <c r="K13" s="23">
        <f t="shared" si="3"/>
        <v>7878200</v>
      </c>
      <c r="L13" s="23">
        <f t="shared" si="4"/>
        <v>0</v>
      </c>
      <c r="M13" s="23">
        <f t="shared" si="5"/>
        <v>131300</v>
      </c>
      <c r="N13" s="4">
        <v>949200</v>
      </c>
      <c r="O13" s="4">
        <v>13000</v>
      </c>
      <c r="P13" s="4">
        <v>984300</v>
      </c>
      <c r="Q13" s="4">
        <v>941400</v>
      </c>
      <c r="R13" s="4">
        <v>1683000</v>
      </c>
      <c r="S13" s="4">
        <v>822400</v>
      </c>
      <c r="T13" s="4">
        <v>1069200</v>
      </c>
      <c r="U13" s="4">
        <v>739800</v>
      </c>
      <c r="V13" s="4">
        <v>544600</v>
      </c>
      <c r="W13" s="4">
        <f t="shared" si="6"/>
        <v>7746900</v>
      </c>
    </row>
    <row r="14" spans="1:24" ht="19.95" customHeight="1" x14ac:dyDescent="0.4">
      <c r="A14" s="14">
        <v>46092</v>
      </c>
      <c r="B14" s="16">
        <v>122800</v>
      </c>
      <c r="C14" s="16">
        <f t="shared" si="0"/>
        <v>8028200</v>
      </c>
      <c r="D14" s="17">
        <v>0</v>
      </c>
      <c r="E14" s="18">
        <f t="shared" si="1"/>
        <v>8151000</v>
      </c>
      <c r="F14" s="19"/>
      <c r="G14" s="20"/>
      <c r="H14" s="21"/>
      <c r="I14" s="22">
        <f t="shared" si="2"/>
        <v>122800</v>
      </c>
      <c r="J14" s="2"/>
      <c r="K14" s="23">
        <f t="shared" si="3"/>
        <v>8151000</v>
      </c>
      <c r="L14" s="23">
        <f t="shared" si="4"/>
        <v>0</v>
      </c>
      <c r="M14" s="23">
        <f t="shared" si="5"/>
        <v>122800</v>
      </c>
      <c r="N14" s="4">
        <v>1160600</v>
      </c>
      <c r="O14" s="4">
        <v>12000</v>
      </c>
      <c r="P14" s="4">
        <v>1190000</v>
      </c>
      <c r="Q14" s="4">
        <v>564400</v>
      </c>
      <c r="R14" s="4">
        <v>1679900</v>
      </c>
      <c r="S14" s="4">
        <v>911000</v>
      </c>
      <c r="T14" s="4">
        <v>1119400</v>
      </c>
      <c r="U14" s="4">
        <v>940000</v>
      </c>
      <c r="V14" s="4">
        <v>450900</v>
      </c>
      <c r="W14" s="4">
        <f t="shared" si="6"/>
        <v>8028200</v>
      </c>
    </row>
    <row r="15" spans="1:24" ht="19.95" customHeight="1" x14ac:dyDescent="0.4">
      <c r="A15" s="14">
        <v>46093</v>
      </c>
      <c r="B15" s="16">
        <v>222300</v>
      </c>
      <c r="C15" s="16">
        <f t="shared" si="0"/>
        <v>8327500</v>
      </c>
      <c r="D15" s="17">
        <v>0</v>
      </c>
      <c r="E15" s="18">
        <f t="shared" si="1"/>
        <v>8549800</v>
      </c>
      <c r="F15" s="19"/>
      <c r="G15" s="20"/>
      <c r="H15" s="21"/>
      <c r="I15" s="22">
        <f t="shared" si="2"/>
        <v>222300</v>
      </c>
      <c r="J15" s="2"/>
      <c r="K15" s="23">
        <f t="shared" si="3"/>
        <v>8549800</v>
      </c>
      <c r="L15" s="23">
        <f t="shared" si="4"/>
        <v>0</v>
      </c>
      <c r="M15" s="23">
        <f t="shared" si="5"/>
        <v>222300</v>
      </c>
      <c r="N15" s="4">
        <v>1410200</v>
      </c>
      <c r="O15" s="4">
        <v>0</v>
      </c>
      <c r="P15" s="4">
        <v>1156100</v>
      </c>
      <c r="Q15" s="4">
        <v>639300</v>
      </c>
      <c r="R15" s="4">
        <v>1985000</v>
      </c>
      <c r="S15" s="4">
        <v>838200</v>
      </c>
      <c r="T15" s="4">
        <v>989500</v>
      </c>
      <c r="U15" s="4">
        <v>858700</v>
      </c>
      <c r="V15" s="4">
        <v>450500</v>
      </c>
      <c r="W15" s="4">
        <f t="shared" si="6"/>
        <v>8327500</v>
      </c>
    </row>
    <row r="16" spans="1:24" ht="19.95" customHeight="1" x14ac:dyDescent="0.4">
      <c r="A16" s="14">
        <v>46094</v>
      </c>
      <c r="B16" s="16">
        <v>41000</v>
      </c>
      <c r="C16" s="16">
        <f t="shared" si="0"/>
        <v>10007950</v>
      </c>
      <c r="D16" s="17">
        <v>0</v>
      </c>
      <c r="E16" s="18">
        <f t="shared" si="1"/>
        <v>10048950</v>
      </c>
      <c r="F16" s="19"/>
      <c r="G16" s="20"/>
      <c r="H16" s="21"/>
      <c r="I16" s="22">
        <f t="shared" si="2"/>
        <v>41000</v>
      </c>
      <c r="J16" s="2"/>
      <c r="K16" s="23">
        <f t="shared" si="3"/>
        <v>10048950</v>
      </c>
      <c r="L16" s="23">
        <f t="shared" si="4"/>
        <v>0</v>
      </c>
      <c r="M16" s="23">
        <f t="shared" si="5"/>
        <v>41000</v>
      </c>
      <c r="N16" s="4">
        <v>1134600</v>
      </c>
      <c r="O16" s="4">
        <v>0</v>
      </c>
      <c r="P16" s="4">
        <v>1920950</v>
      </c>
      <c r="Q16" s="4">
        <v>700400</v>
      </c>
      <c r="R16" s="4">
        <v>2095400</v>
      </c>
      <c r="S16" s="4">
        <v>1318800</v>
      </c>
      <c r="T16" s="4">
        <v>1414300</v>
      </c>
      <c r="U16" s="4">
        <v>949700</v>
      </c>
      <c r="V16" s="4">
        <v>473800</v>
      </c>
      <c r="W16" s="4">
        <f t="shared" si="6"/>
        <v>10007950</v>
      </c>
    </row>
    <row r="17" spans="1:23" ht="19.95" customHeight="1" x14ac:dyDescent="0.4">
      <c r="A17" s="14">
        <v>46095</v>
      </c>
      <c r="B17" s="16">
        <v>185100</v>
      </c>
      <c r="C17" s="16">
        <f t="shared" si="0"/>
        <v>11144600</v>
      </c>
      <c r="D17" s="17">
        <v>0</v>
      </c>
      <c r="E17" s="18">
        <f t="shared" si="1"/>
        <v>11329700</v>
      </c>
      <c r="F17" s="19"/>
      <c r="G17" s="20"/>
      <c r="H17" s="21"/>
      <c r="I17" s="22">
        <f t="shared" si="2"/>
        <v>185100</v>
      </c>
      <c r="J17" s="2"/>
      <c r="K17" s="23">
        <f t="shared" si="3"/>
        <v>11329700</v>
      </c>
      <c r="L17" s="23">
        <f t="shared" si="4"/>
        <v>0</v>
      </c>
      <c r="M17" s="23">
        <f t="shared" si="5"/>
        <v>185100</v>
      </c>
      <c r="N17" s="4">
        <v>1272200</v>
      </c>
      <c r="O17" s="4">
        <v>32500</v>
      </c>
      <c r="P17" s="4">
        <v>2151600</v>
      </c>
      <c r="Q17" s="4">
        <v>876600</v>
      </c>
      <c r="R17" s="4">
        <v>1816200</v>
      </c>
      <c r="S17" s="4">
        <v>1552700</v>
      </c>
      <c r="T17" s="4">
        <v>1529900</v>
      </c>
      <c r="U17" s="4">
        <v>1320200</v>
      </c>
      <c r="V17" s="4">
        <v>592700</v>
      </c>
      <c r="W17" s="4">
        <f t="shared" si="6"/>
        <v>11144600</v>
      </c>
    </row>
    <row r="18" spans="1:23" ht="19.95" customHeight="1" x14ac:dyDescent="0.4">
      <c r="A18" s="14">
        <v>46096</v>
      </c>
      <c r="B18" s="16">
        <v>147110</v>
      </c>
      <c r="C18" s="16">
        <f t="shared" si="0"/>
        <v>10194200</v>
      </c>
      <c r="D18" s="17">
        <v>0</v>
      </c>
      <c r="E18" s="18">
        <f t="shared" si="1"/>
        <v>10341310</v>
      </c>
      <c r="F18" s="19"/>
      <c r="G18" s="20"/>
      <c r="H18" s="21"/>
      <c r="I18" s="22">
        <f t="shared" si="2"/>
        <v>147110</v>
      </c>
      <c r="J18" s="2"/>
      <c r="K18" s="23">
        <f t="shared" si="3"/>
        <v>10341310</v>
      </c>
      <c r="L18" s="23">
        <f t="shared" si="4"/>
        <v>0</v>
      </c>
      <c r="M18" s="23">
        <f t="shared" si="5"/>
        <v>147110</v>
      </c>
      <c r="N18" s="4">
        <v>1377100</v>
      </c>
      <c r="O18" s="4">
        <v>0</v>
      </c>
      <c r="P18" s="4">
        <v>1850100</v>
      </c>
      <c r="Q18" s="4">
        <v>769700</v>
      </c>
      <c r="R18" s="4">
        <v>2046400</v>
      </c>
      <c r="S18" s="4">
        <v>1233800</v>
      </c>
      <c r="T18" s="4">
        <v>1334600</v>
      </c>
      <c r="U18" s="4">
        <v>1147000</v>
      </c>
      <c r="V18" s="4">
        <v>435500</v>
      </c>
      <c r="W18" s="4">
        <f t="shared" si="6"/>
        <v>10194200</v>
      </c>
    </row>
    <row r="19" spans="1:23" ht="19.95" customHeight="1" x14ac:dyDescent="0.4">
      <c r="A19" s="14">
        <v>46097</v>
      </c>
      <c r="B19" s="16">
        <v>169300</v>
      </c>
      <c r="C19" s="16">
        <f t="shared" si="0"/>
        <v>6907870</v>
      </c>
      <c r="D19" s="17">
        <v>0</v>
      </c>
      <c r="E19" s="18">
        <f t="shared" si="1"/>
        <v>7077170</v>
      </c>
      <c r="F19" s="19"/>
      <c r="G19" s="20"/>
      <c r="H19" s="21"/>
      <c r="I19" s="22">
        <f t="shared" si="2"/>
        <v>169300</v>
      </c>
      <c r="J19" s="2"/>
      <c r="K19" s="23">
        <f t="shared" si="3"/>
        <v>7077170</v>
      </c>
      <c r="L19" s="23">
        <f t="shared" si="4"/>
        <v>0</v>
      </c>
      <c r="M19" s="23">
        <f t="shared" si="5"/>
        <v>169300</v>
      </c>
      <c r="N19" s="4">
        <v>963370</v>
      </c>
      <c r="O19" s="4">
        <v>20600</v>
      </c>
      <c r="P19" s="4">
        <v>1436800</v>
      </c>
      <c r="Q19" s="4">
        <v>414800</v>
      </c>
      <c r="R19" s="4">
        <v>1187700</v>
      </c>
      <c r="S19" s="4">
        <v>934300</v>
      </c>
      <c r="T19" s="4">
        <v>987700</v>
      </c>
      <c r="U19" s="4">
        <v>677200</v>
      </c>
      <c r="V19" s="4">
        <v>285400</v>
      </c>
      <c r="W19" s="4">
        <f t="shared" si="6"/>
        <v>6907870</v>
      </c>
    </row>
    <row r="20" spans="1:23" ht="19.95" customHeight="1" x14ac:dyDescent="0.4">
      <c r="A20" s="14">
        <v>46098</v>
      </c>
      <c r="B20" s="16">
        <v>216700</v>
      </c>
      <c r="C20" s="16">
        <f t="shared" si="0"/>
        <v>7661300</v>
      </c>
      <c r="D20" s="17">
        <v>0</v>
      </c>
      <c r="E20" s="18">
        <f t="shared" si="1"/>
        <v>7878000</v>
      </c>
      <c r="F20" s="19"/>
      <c r="G20" s="20"/>
      <c r="H20" s="21"/>
      <c r="I20" s="22">
        <f t="shared" si="2"/>
        <v>216700</v>
      </c>
      <c r="J20" s="2"/>
      <c r="K20" s="23">
        <f t="shared" si="3"/>
        <v>7878000</v>
      </c>
      <c r="L20" s="23">
        <f t="shared" si="4"/>
        <v>0</v>
      </c>
      <c r="M20" s="23">
        <f t="shared" si="5"/>
        <v>216700</v>
      </c>
      <c r="N20" s="4">
        <v>1129600</v>
      </c>
      <c r="O20" s="4">
        <v>0</v>
      </c>
      <c r="P20" s="4">
        <v>1255200</v>
      </c>
      <c r="Q20" s="4">
        <v>499200</v>
      </c>
      <c r="R20" s="4">
        <v>1369400</v>
      </c>
      <c r="S20" s="4">
        <v>1331050</v>
      </c>
      <c r="T20" s="4">
        <v>1143300</v>
      </c>
      <c r="U20" s="4">
        <v>624750</v>
      </c>
      <c r="V20" s="4">
        <v>308800</v>
      </c>
      <c r="W20" s="4">
        <f t="shared" si="6"/>
        <v>7661300</v>
      </c>
    </row>
    <row r="21" spans="1:23" ht="19.95" customHeight="1" x14ac:dyDescent="0.4">
      <c r="A21" s="14">
        <v>46099</v>
      </c>
      <c r="B21" s="16">
        <v>115100</v>
      </c>
      <c r="C21" s="16">
        <f t="shared" si="0"/>
        <v>8480200</v>
      </c>
      <c r="D21" s="17">
        <v>0</v>
      </c>
      <c r="E21" s="18">
        <f t="shared" si="1"/>
        <v>8595300</v>
      </c>
      <c r="F21" s="19"/>
      <c r="G21" s="20"/>
      <c r="H21" s="21"/>
      <c r="I21" s="22">
        <f t="shared" si="2"/>
        <v>115100</v>
      </c>
      <c r="J21" s="2"/>
      <c r="K21" s="23">
        <f t="shared" si="3"/>
        <v>8595300</v>
      </c>
      <c r="L21" s="23">
        <f t="shared" si="4"/>
        <v>0</v>
      </c>
      <c r="M21" s="23">
        <f t="shared" si="5"/>
        <v>115100</v>
      </c>
      <c r="N21" s="4">
        <v>1003500</v>
      </c>
      <c r="O21" s="4">
        <v>0</v>
      </c>
      <c r="P21" s="4">
        <v>1239700</v>
      </c>
      <c r="Q21" s="4">
        <v>739950</v>
      </c>
      <c r="R21" s="4">
        <v>1895200</v>
      </c>
      <c r="S21" s="4">
        <v>1054000</v>
      </c>
      <c r="T21" s="4">
        <v>1286150</v>
      </c>
      <c r="U21" s="4">
        <v>783800</v>
      </c>
      <c r="V21" s="4">
        <v>477900</v>
      </c>
      <c r="W21" s="4">
        <f t="shared" si="6"/>
        <v>8480200</v>
      </c>
    </row>
    <row r="22" spans="1:23" ht="19.95" customHeight="1" x14ac:dyDescent="0.4">
      <c r="A22" s="14">
        <v>46100</v>
      </c>
      <c r="B22" s="16">
        <v>157500</v>
      </c>
      <c r="C22" s="16">
        <f t="shared" si="0"/>
        <v>8440300</v>
      </c>
      <c r="D22" s="17">
        <v>0</v>
      </c>
      <c r="E22" s="18">
        <f t="shared" si="1"/>
        <v>8597800</v>
      </c>
      <c r="F22" s="19"/>
      <c r="G22" s="20"/>
      <c r="H22" s="21"/>
      <c r="I22" s="22">
        <f t="shared" si="2"/>
        <v>157500</v>
      </c>
      <c r="J22" s="2"/>
      <c r="K22" s="23">
        <f t="shared" si="3"/>
        <v>8597800</v>
      </c>
      <c r="L22" s="23">
        <f t="shared" si="4"/>
        <v>0</v>
      </c>
      <c r="M22" s="23">
        <f t="shared" si="5"/>
        <v>157500</v>
      </c>
      <c r="N22" s="4">
        <v>1026900</v>
      </c>
      <c r="O22" s="4">
        <v>0</v>
      </c>
      <c r="P22" s="4">
        <v>1540200</v>
      </c>
      <c r="Q22" s="4">
        <v>542700</v>
      </c>
      <c r="R22" s="4">
        <v>1636100</v>
      </c>
      <c r="S22" s="4">
        <v>957200</v>
      </c>
      <c r="T22" s="4">
        <v>1334100</v>
      </c>
      <c r="U22" s="4">
        <v>910600</v>
      </c>
      <c r="V22" s="4">
        <v>492500</v>
      </c>
      <c r="W22" s="4">
        <f t="shared" si="6"/>
        <v>8440300</v>
      </c>
    </row>
    <row r="23" spans="1:23" ht="19.95" customHeight="1" x14ac:dyDescent="0.4">
      <c r="A23" s="14">
        <v>46101</v>
      </c>
      <c r="B23" s="16">
        <v>107300</v>
      </c>
      <c r="C23" s="16">
        <f t="shared" si="0"/>
        <v>10438520</v>
      </c>
      <c r="D23" s="17">
        <v>0</v>
      </c>
      <c r="E23" s="18">
        <f t="shared" si="1"/>
        <v>10545820</v>
      </c>
      <c r="F23" s="19"/>
      <c r="G23" s="20"/>
      <c r="H23" s="21"/>
      <c r="I23" s="22">
        <f t="shared" si="2"/>
        <v>107300</v>
      </c>
      <c r="J23" s="2"/>
      <c r="K23" s="23">
        <f t="shared" si="3"/>
        <v>10545820</v>
      </c>
      <c r="L23" s="23">
        <f t="shared" si="4"/>
        <v>0</v>
      </c>
      <c r="M23" s="23">
        <f t="shared" si="5"/>
        <v>107300</v>
      </c>
      <c r="N23" s="4">
        <v>1404900</v>
      </c>
      <c r="O23" s="4">
        <v>0</v>
      </c>
      <c r="P23" s="4">
        <v>1836800</v>
      </c>
      <c r="Q23" s="4">
        <v>721500</v>
      </c>
      <c r="R23" s="4">
        <v>1987000</v>
      </c>
      <c r="S23" s="4">
        <v>1450620</v>
      </c>
      <c r="T23" s="4">
        <v>1594600</v>
      </c>
      <c r="U23" s="4">
        <v>868800</v>
      </c>
      <c r="V23" s="4">
        <v>574300</v>
      </c>
      <c r="W23" s="4">
        <f t="shared" si="6"/>
        <v>10438520</v>
      </c>
    </row>
    <row r="24" spans="1:23" ht="19.95" customHeight="1" x14ac:dyDescent="0.4">
      <c r="A24" s="14">
        <v>46102</v>
      </c>
      <c r="B24" s="16">
        <v>145400</v>
      </c>
      <c r="C24" s="16">
        <f t="shared" si="0"/>
        <v>10878800</v>
      </c>
      <c r="D24" s="17">
        <v>0</v>
      </c>
      <c r="E24" s="18">
        <f t="shared" si="1"/>
        <v>11024200</v>
      </c>
      <c r="F24" s="19"/>
      <c r="G24" s="20"/>
      <c r="H24" s="21"/>
      <c r="I24" s="22">
        <f t="shared" si="2"/>
        <v>145400</v>
      </c>
      <c r="J24" s="2"/>
      <c r="K24" s="23">
        <f t="shared" si="3"/>
        <v>11024200</v>
      </c>
      <c r="L24" s="23">
        <f t="shared" si="4"/>
        <v>0</v>
      </c>
      <c r="M24" s="23">
        <f t="shared" si="5"/>
        <v>145400</v>
      </c>
      <c r="N24" s="4">
        <v>1455500</v>
      </c>
      <c r="O24" s="4">
        <v>7800</v>
      </c>
      <c r="P24" s="4">
        <v>2324300</v>
      </c>
      <c r="Q24" s="4">
        <v>755500</v>
      </c>
      <c r="R24" s="4">
        <v>1599300</v>
      </c>
      <c r="S24" s="4">
        <v>1724700</v>
      </c>
      <c r="T24" s="4">
        <v>1507100</v>
      </c>
      <c r="U24" s="4">
        <v>1087500</v>
      </c>
      <c r="V24" s="4">
        <v>417100</v>
      </c>
      <c r="W24" s="4">
        <f t="shared" si="6"/>
        <v>10878800</v>
      </c>
    </row>
    <row r="25" spans="1:23" ht="19.95" customHeight="1" x14ac:dyDescent="0.4">
      <c r="A25" s="14">
        <v>46103</v>
      </c>
      <c r="B25" s="16">
        <v>323600</v>
      </c>
      <c r="C25" s="16">
        <f t="shared" si="0"/>
        <v>10266000</v>
      </c>
      <c r="D25" s="17">
        <v>0</v>
      </c>
      <c r="E25" s="18">
        <f t="shared" si="1"/>
        <v>10589600</v>
      </c>
      <c r="F25" s="19"/>
      <c r="G25" s="20"/>
      <c r="H25" s="21"/>
      <c r="I25" s="22">
        <f t="shared" si="2"/>
        <v>323600</v>
      </c>
      <c r="J25" s="2"/>
      <c r="K25" s="23">
        <f t="shared" si="3"/>
        <v>10589600</v>
      </c>
      <c r="L25" s="23">
        <f t="shared" si="4"/>
        <v>0</v>
      </c>
      <c r="M25" s="23">
        <f t="shared" si="5"/>
        <v>323600</v>
      </c>
      <c r="N25" s="4">
        <v>1353500</v>
      </c>
      <c r="O25" s="4">
        <v>14500</v>
      </c>
      <c r="P25" s="4">
        <v>1732600</v>
      </c>
      <c r="Q25" s="4">
        <v>672600</v>
      </c>
      <c r="R25" s="4">
        <v>2004900</v>
      </c>
      <c r="S25" s="4">
        <v>1668300</v>
      </c>
      <c r="T25" s="4">
        <v>1317800</v>
      </c>
      <c r="U25" s="4">
        <v>974400</v>
      </c>
      <c r="V25" s="4">
        <v>527400</v>
      </c>
      <c r="W25" s="4">
        <f t="shared" si="6"/>
        <v>10266000</v>
      </c>
    </row>
    <row r="26" spans="1:23" ht="19.95" customHeight="1" x14ac:dyDescent="0.4">
      <c r="A26" s="14">
        <v>46104</v>
      </c>
      <c r="B26" s="16">
        <v>48500</v>
      </c>
      <c r="C26" s="16">
        <f t="shared" si="0"/>
        <v>6372100</v>
      </c>
      <c r="D26" s="17">
        <v>0</v>
      </c>
      <c r="E26" s="18">
        <f t="shared" si="1"/>
        <v>6420600</v>
      </c>
      <c r="F26" s="19"/>
      <c r="G26" s="20"/>
      <c r="H26" s="21"/>
      <c r="I26" s="22">
        <f t="shared" si="2"/>
        <v>48500</v>
      </c>
      <c r="J26" s="2"/>
      <c r="K26" s="23">
        <f t="shared" si="3"/>
        <v>6420600</v>
      </c>
      <c r="L26" s="23">
        <f t="shared" si="4"/>
        <v>0</v>
      </c>
      <c r="M26" s="23">
        <f t="shared" si="5"/>
        <v>48500</v>
      </c>
      <c r="N26" s="4">
        <v>1025400</v>
      </c>
      <c r="O26" s="4">
        <v>0</v>
      </c>
      <c r="P26" s="4">
        <v>1060000</v>
      </c>
      <c r="Q26" s="4">
        <v>440000</v>
      </c>
      <c r="R26" s="4">
        <v>1307100</v>
      </c>
      <c r="S26" s="4">
        <v>884900</v>
      </c>
      <c r="T26" s="4">
        <v>836800</v>
      </c>
      <c r="U26" s="4">
        <v>649500</v>
      </c>
      <c r="V26" s="4">
        <v>168400</v>
      </c>
      <c r="W26" s="4">
        <f t="shared" si="6"/>
        <v>6372100</v>
      </c>
    </row>
    <row r="27" spans="1:23" ht="19.95" customHeight="1" x14ac:dyDescent="0.4">
      <c r="A27" s="14">
        <v>46105</v>
      </c>
      <c r="B27" s="16">
        <v>109800</v>
      </c>
      <c r="C27" s="16">
        <f t="shared" si="0"/>
        <v>7266000</v>
      </c>
      <c r="D27" s="17">
        <v>0</v>
      </c>
      <c r="E27" s="18">
        <f t="shared" si="1"/>
        <v>7375800</v>
      </c>
      <c r="F27" s="19"/>
      <c r="G27" s="20"/>
      <c r="H27" s="21"/>
      <c r="I27" s="22">
        <f t="shared" si="2"/>
        <v>109800</v>
      </c>
      <c r="J27" s="2"/>
      <c r="K27" s="23">
        <f t="shared" si="3"/>
        <v>7375800</v>
      </c>
      <c r="L27" s="23">
        <f t="shared" si="4"/>
        <v>0</v>
      </c>
      <c r="M27" s="23">
        <f t="shared" si="5"/>
        <v>109800</v>
      </c>
      <c r="N27" s="4">
        <v>1171600</v>
      </c>
      <c r="O27" s="4">
        <v>0</v>
      </c>
      <c r="P27" s="4">
        <v>1005600</v>
      </c>
      <c r="Q27" s="4">
        <v>489100</v>
      </c>
      <c r="R27" s="4">
        <v>1475000</v>
      </c>
      <c r="S27" s="4">
        <v>946300</v>
      </c>
      <c r="T27" s="4">
        <v>970700</v>
      </c>
      <c r="U27" s="4">
        <v>884200</v>
      </c>
      <c r="V27" s="4">
        <v>323500</v>
      </c>
      <c r="W27" s="4">
        <f t="shared" si="6"/>
        <v>7266000</v>
      </c>
    </row>
    <row r="28" spans="1:23" ht="19.95" customHeight="1" x14ac:dyDescent="0.4">
      <c r="A28" s="14">
        <v>46106</v>
      </c>
      <c r="B28" s="16">
        <v>87800</v>
      </c>
      <c r="C28" s="16">
        <f t="shared" si="0"/>
        <v>8327500</v>
      </c>
      <c r="D28" s="17">
        <v>0</v>
      </c>
      <c r="E28" s="18">
        <f t="shared" si="1"/>
        <v>8415300</v>
      </c>
      <c r="F28" s="19"/>
      <c r="G28" s="20"/>
      <c r="H28" s="21"/>
      <c r="I28" s="22">
        <f t="shared" si="2"/>
        <v>87800</v>
      </c>
      <c r="J28" s="2"/>
      <c r="K28" s="23">
        <f t="shared" si="3"/>
        <v>8415300</v>
      </c>
      <c r="L28" s="23">
        <f t="shared" si="4"/>
        <v>0</v>
      </c>
      <c r="M28" s="23">
        <f t="shared" si="5"/>
        <v>87800</v>
      </c>
      <c r="N28" s="4">
        <v>1400700</v>
      </c>
      <c r="O28" s="4">
        <v>22000</v>
      </c>
      <c r="P28" s="4">
        <v>1353500</v>
      </c>
      <c r="Q28" s="4">
        <v>533200</v>
      </c>
      <c r="R28" s="4">
        <v>1603200</v>
      </c>
      <c r="S28" s="4">
        <v>903100</v>
      </c>
      <c r="T28" s="4">
        <v>1351800</v>
      </c>
      <c r="U28" s="4">
        <v>818600</v>
      </c>
      <c r="V28" s="4">
        <v>341400</v>
      </c>
      <c r="W28" s="4">
        <f t="shared" si="6"/>
        <v>8327500</v>
      </c>
    </row>
    <row r="29" spans="1:23" ht="19.95" customHeight="1" x14ac:dyDescent="0.4">
      <c r="A29" s="14">
        <v>46107</v>
      </c>
      <c r="B29" s="16">
        <v>22500</v>
      </c>
      <c r="C29" s="16">
        <f t="shared" si="0"/>
        <v>9270100</v>
      </c>
      <c r="D29" s="17">
        <v>0</v>
      </c>
      <c r="E29" s="18">
        <f t="shared" si="1"/>
        <v>9292600</v>
      </c>
      <c r="F29" s="19"/>
      <c r="G29" s="20"/>
      <c r="H29" s="21"/>
      <c r="I29" s="22">
        <f t="shared" si="2"/>
        <v>22500</v>
      </c>
      <c r="J29" s="2"/>
      <c r="K29" s="23">
        <f t="shared" si="3"/>
        <v>9292600</v>
      </c>
      <c r="L29" s="23">
        <f t="shared" si="4"/>
        <v>0</v>
      </c>
      <c r="M29" s="23">
        <f t="shared" si="5"/>
        <v>22500</v>
      </c>
      <c r="N29" s="4">
        <v>1318700</v>
      </c>
      <c r="O29" s="4">
        <v>38000</v>
      </c>
      <c r="P29" s="4">
        <v>1632800</v>
      </c>
      <c r="Q29" s="4">
        <v>683500</v>
      </c>
      <c r="R29" s="4">
        <v>1749200</v>
      </c>
      <c r="S29" s="4">
        <v>1090200</v>
      </c>
      <c r="T29" s="4">
        <v>1388300</v>
      </c>
      <c r="U29" s="4">
        <v>825800</v>
      </c>
      <c r="V29" s="4">
        <v>543600</v>
      </c>
      <c r="W29" s="4">
        <f t="shared" si="6"/>
        <v>9270100</v>
      </c>
    </row>
    <row r="30" spans="1:23" ht="19.95" customHeight="1" x14ac:dyDescent="0.4">
      <c r="A30" s="14">
        <v>46108</v>
      </c>
      <c r="B30" s="16">
        <f>159100</f>
        <v>159100</v>
      </c>
      <c r="C30" s="16">
        <f t="shared" si="0"/>
        <v>10953110</v>
      </c>
      <c r="D30" s="17">
        <v>0</v>
      </c>
      <c r="E30" s="18">
        <f t="shared" si="1"/>
        <v>11112210</v>
      </c>
      <c r="F30" s="19"/>
      <c r="G30" s="20"/>
      <c r="H30" s="21"/>
      <c r="I30" s="22">
        <f t="shared" si="2"/>
        <v>159100</v>
      </c>
      <c r="J30" s="2"/>
      <c r="K30" s="23">
        <f t="shared" si="3"/>
        <v>11112210</v>
      </c>
      <c r="L30" s="23">
        <f t="shared" si="4"/>
        <v>0</v>
      </c>
      <c r="M30" s="23">
        <f t="shared" si="5"/>
        <v>159100</v>
      </c>
      <c r="N30" s="4">
        <v>1516400</v>
      </c>
      <c r="O30" s="4">
        <v>0</v>
      </c>
      <c r="P30" s="4">
        <v>1767100</v>
      </c>
      <c r="Q30" s="4">
        <v>632400</v>
      </c>
      <c r="R30" s="4">
        <v>2281260</v>
      </c>
      <c r="S30" s="4">
        <v>1493200</v>
      </c>
      <c r="T30" s="4">
        <v>1828650</v>
      </c>
      <c r="U30" s="4">
        <v>928500</v>
      </c>
      <c r="V30" s="4">
        <v>505600</v>
      </c>
      <c r="W30" s="4">
        <f t="shared" si="6"/>
        <v>10953110</v>
      </c>
    </row>
    <row r="31" spans="1:23" ht="19.95" customHeight="1" x14ac:dyDescent="0.4">
      <c r="A31" s="14">
        <v>46109</v>
      </c>
      <c r="B31" s="16">
        <v>204000</v>
      </c>
      <c r="C31" s="16">
        <f t="shared" si="0"/>
        <v>11450000</v>
      </c>
      <c r="D31" s="17">
        <v>0</v>
      </c>
      <c r="E31" s="18">
        <f t="shared" si="1"/>
        <v>11654000</v>
      </c>
      <c r="F31" s="19"/>
      <c r="G31" s="20"/>
      <c r="H31" s="21"/>
      <c r="I31" s="22">
        <f t="shared" si="2"/>
        <v>204000</v>
      </c>
      <c r="J31" s="2"/>
      <c r="K31" s="23">
        <f t="shared" si="3"/>
        <v>11654000</v>
      </c>
      <c r="L31" s="23">
        <f t="shared" si="4"/>
        <v>0</v>
      </c>
      <c r="M31" s="23">
        <f t="shared" si="5"/>
        <v>204000</v>
      </c>
      <c r="N31" s="4">
        <v>1897600</v>
      </c>
      <c r="O31" s="4">
        <v>0</v>
      </c>
      <c r="P31" s="4">
        <v>1814100</v>
      </c>
      <c r="Q31" s="4">
        <v>655700</v>
      </c>
      <c r="R31" s="4">
        <v>1695100</v>
      </c>
      <c r="S31" s="4">
        <v>1556800</v>
      </c>
      <c r="T31" s="4">
        <v>1775700</v>
      </c>
      <c r="U31" s="4">
        <v>1418000</v>
      </c>
      <c r="V31" s="4">
        <v>637000</v>
      </c>
      <c r="W31" s="4">
        <f t="shared" si="6"/>
        <v>11450000</v>
      </c>
    </row>
    <row r="32" spans="1:23" ht="19.95" customHeight="1" x14ac:dyDescent="0.4">
      <c r="A32" s="14">
        <v>46110</v>
      </c>
      <c r="B32" s="16">
        <v>224500</v>
      </c>
      <c r="C32" s="16">
        <f t="shared" si="0"/>
        <v>10153300</v>
      </c>
      <c r="D32" s="17">
        <v>0</v>
      </c>
      <c r="E32" s="18">
        <f t="shared" si="1"/>
        <v>10377800</v>
      </c>
      <c r="F32" s="19"/>
      <c r="G32" s="20"/>
      <c r="H32" s="21"/>
      <c r="I32" s="22">
        <f t="shared" si="2"/>
        <v>224500</v>
      </c>
      <c r="J32" s="2"/>
      <c r="K32" s="23">
        <f t="shared" si="3"/>
        <v>10377800</v>
      </c>
      <c r="L32" s="23">
        <f t="shared" si="4"/>
        <v>0</v>
      </c>
      <c r="M32" s="23">
        <f t="shared" si="5"/>
        <v>224500</v>
      </c>
      <c r="N32" s="4">
        <v>1641100</v>
      </c>
      <c r="O32" s="4">
        <v>13000</v>
      </c>
      <c r="P32" s="4">
        <v>1814900</v>
      </c>
      <c r="Q32" s="4">
        <v>745600</v>
      </c>
      <c r="R32" s="4">
        <v>1688000</v>
      </c>
      <c r="S32" s="4">
        <v>1119900</v>
      </c>
      <c r="T32" s="4">
        <v>1497800</v>
      </c>
      <c r="U32" s="4">
        <v>1109900</v>
      </c>
      <c r="V32" s="4">
        <v>523100</v>
      </c>
      <c r="W32" s="4">
        <f t="shared" si="6"/>
        <v>10153300</v>
      </c>
    </row>
    <row r="33" spans="1:24" ht="19.95" customHeight="1" x14ac:dyDescent="0.4">
      <c r="A33" s="14">
        <v>46111</v>
      </c>
      <c r="B33" s="16">
        <v>149000</v>
      </c>
      <c r="C33" s="16">
        <f t="shared" si="0"/>
        <v>7737200</v>
      </c>
      <c r="D33" s="17">
        <v>0</v>
      </c>
      <c r="E33" s="18">
        <f t="shared" si="1"/>
        <v>7886200</v>
      </c>
      <c r="F33" s="19"/>
      <c r="G33" s="20"/>
      <c r="H33" s="21"/>
      <c r="I33" s="22">
        <f t="shared" si="2"/>
        <v>149000</v>
      </c>
      <c r="J33" s="2"/>
      <c r="K33" s="23">
        <f t="shared" si="3"/>
        <v>7886200</v>
      </c>
      <c r="L33" s="23">
        <f t="shared" si="4"/>
        <v>0</v>
      </c>
      <c r="M33" s="23">
        <f t="shared" si="5"/>
        <v>149000</v>
      </c>
      <c r="N33" s="4">
        <v>1017100</v>
      </c>
      <c r="O33" s="4">
        <v>24500</v>
      </c>
      <c r="P33" s="4">
        <v>1259300</v>
      </c>
      <c r="Q33" s="4">
        <v>604500</v>
      </c>
      <c r="R33" s="4">
        <v>1335900</v>
      </c>
      <c r="S33" s="4">
        <v>997610</v>
      </c>
      <c r="T33" s="4">
        <v>1074390</v>
      </c>
      <c r="U33" s="4">
        <v>842800</v>
      </c>
      <c r="V33" s="4">
        <v>581100</v>
      </c>
      <c r="W33" s="4">
        <f t="shared" si="6"/>
        <v>7737200</v>
      </c>
    </row>
    <row r="34" spans="1:24" ht="19.95" customHeight="1" x14ac:dyDescent="0.4">
      <c r="A34" s="14">
        <v>46112</v>
      </c>
      <c r="B34" s="16">
        <f>800+111800</f>
        <v>112600</v>
      </c>
      <c r="C34" s="16">
        <f t="shared" si="0"/>
        <v>7537500</v>
      </c>
      <c r="D34" s="17">
        <v>0</v>
      </c>
      <c r="E34" s="18">
        <f t="shared" si="1"/>
        <v>7650100</v>
      </c>
      <c r="F34" s="19"/>
      <c r="G34" s="20"/>
      <c r="H34" s="21"/>
      <c r="I34" s="22">
        <f t="shared" si="2"/>
        <v>112600</v>
      </c>
      <c r="J34" s="2"/>
      <c r="K34" s="23">
        <f t="shared" si="3"/>
        <v>7650100</v>
      </c>
      <c r="L34" s="23">
        <f t="shared" si="4"/>
        <v>0</v>
      </c>
      <c r="M34" s="23">
        <f t="shared" si="5"/>
        <v>112600</v>
      </c>
      <c r="N34" s="4">
        <v>1024000</v>
      </c>
      <c r="O34" s="4">
        <v>0</v>
      </c>
      <c r="P34" s="4">
        <v>1250400</v>
      </c>
      <c r="Q34" s="4">
        <v>565700</v>
      </c>
      <c r="R34" s="4">
        <v>1431300</v>
      </c>
      <c r="S34" s="4">
        <v>905300</v>
      </c>
      <c r="T34" s="4">
        <v>1354800</v>
      </c>
      <c r="U34" s="4">
        <v>755100</v>
      </c>
      <c r="V34" s="4">
        <v>250900</v>
      </c>
      <c r="W34" s="4">
        <f t="shared" si="6"/>
        <v>7537500</v>
      </c>
    </row>
    <row r="35" spans="1:24" ht="19.95" customHeight="1" x14ac:dyDescent="0.4">
      <c r="A35" s="25" t="s">
        <v>27</v>
      </c>
      <c r="B35" s="17">
        <f>SUM(B4:B34)</f>
        <v>4194210</v>
      </c>
      <c r="C35" s="17">
        <f>SUM(C4:C34)</f>
        <v>270877570</v>
      </c>
      <c r="D35" s="17">
        <f>SUM(D4:D34)</f>
        <v>0</v>
      </c>
      <c r="E35" s="17">
        <f>SUM(E4:E34)</f>
        <v>275071780</v>
      </c>
      <c r="F35" s="17">
        <f>SUM(F4:F34)</f>
        <v>0</v>
      </c>
      <c r="G35" s="17">
        <f>SUM(G8:G34)</f>
        <v>0</v>
      </c>
      <c r="H35" s="17">
        <f>SUM(H4:H34)</f>
        <v>0</v>
      </c>
      <c r="I35" s="17">
        <f>SUM(I4:I34)</f>
        <v>4194210</v>
      </c>
      <c r="J35" s="17"/>
      <c r="K35" s="17">
        <f t="shared" ref="K35:W35" si="7">SUM(K4:K34)</f>
        <v>275071780</v>
      </c>
      <c r="L35" s="17">
        <f t="shared" si="7"/>
        <v>0</v>
      </c>
      <c r="M35" s="17">
        <f t="shared" si="7"/>
        <v>4194210</v>
      </c>
      <c r="N35" s="17">
        <f t="shared" si="7"/>
        <v>37847470</v>
      </c>
      <c r="O35" s="17">
        <f>SUM(O4:O34)</f>
        <v>197900</v>
      </c>
      <c r="P35" s="17">
        <f t="shared" si="7"/>
        <v>47024150</v>
      </c>
      <c r="Q35" s="17">
        <f t="shared" si="7"/>
        <v>19376050</v>
      </c>
      <c r="R35" s="17">
        <f t="shared" si="7"/>
        <v>51638800</v>
      </c>
      <c r="S35" s="17">
        <f t="shared" si="7"/>
        <v>34789460</v>
      </c>
      <c r="T35" s="17">
        <f t="shared" si="7"/>
        <v>39575690</v>
      </c>
      <c r="U35" s="17">
        <f t="shared" si="7"/>
        <v>27334150</v>
      </c>
      <c r="V35" s="17">
        <f t="shared" si="7"/>
        <v>13093900</v>
      </c>
      <c r="W35" s="17">
        <f t="shared" si="7"/>
        <v>270877570</v>
      </c>
      <c r="X35" s="26"/>
    </row>
    <row r="36" spans="1:24" x14ac:dyDescent="0.4">
      <c r="B36" s="4"/>
      <c r="C36" s="4"/>
      <c r="D36" s="4"/>
    </row>
    <row r="37" spans="1:24" x14ac:dyDescent="0.4">
      <c r="A37" s="29"/>
      <c r="D37" s="24"/>
      <c r="E37" s="24"/>
      <c r="F37" s="28"/>
    </row>
    <row r="38" spans="1:24" x14ac:dyDescent="0.4">
      <c r="A38" s="29"/>
    </row>
    <row r="39" spans="1:24" x14ac:dyDescent="0.4">
      <c r="A39" s="29"/>
    </row>
    <row r="40" spans="1:24" x14ac:dyDescent="0.4">
      <c r="A40" s="29"/>
      <c r="G40" s="2"/>
    </row>
    <row r="41" spans="1:24" x14ac:dyDescent="0.4">
      <c r="A41" s="29"/>
    </row>
    <row r="42" spans="1:24" x14ac:dyDescent="0.4">
      <c r="A42" s="29"/>
    </row>
    <row r="43" spans="1:24" x14ac:dyDescent="0.4">
      <c r="A43" s="29"/>
    </row>
    <row r="44" spans="1:24" x14ac:dyDescent="0.4">
      <c r="A44" s="29"/>
    </row>
    <row r="45" spans="1:24" x14ac:dyDescent="0.4">
      <c r="A45" s="29"/>
    </row>
    <row r="46" spans="1:24" x14ac:dyDescent="0.4">
      <c r="A46" s="29"/>
    </row>
    <row r="47" spans="1:24" x14ac:dyDescent="0.4">
      <c r="A47" s="29"/>
    </row>
    <row r="48" spans="1:24" x14ac:dyDescent="0.4">
      <c r="A48" s="29"/>
    </row>
    <row r="49" spans="1:1" x14ac:dyDescent="0.4">
      <c r="A49" s="29"/>
    </row>
    <row r="50" spans="1:1" x14ac:dyDescent="0.4">
      <c r="A50" s="29"/>
    </row>
    <row r="51" spans="1:1" x14ac:dyDescent="0.4">
      <c r="A51" s="29"/>
    </row>
    <row r="52" spans="1:1" x14ac:dyDescent="0.4">
      <c r="A52" s="29"/>
    </row>
    <row r="53" spans="1:1" x14ac:dyDescent="0.4">
      <c r="A53" s="29"/>
    </row>
    <row r="54" spans="1:1" x14ac:dyDescent="0.4">
      <c r="A54" s="29"/>
    </row>
    <row r="55" spans="1:1" x14ac:dyDescent="0.4">
      <c r="A55" s="29"/>
    </row>
    <row r="56" spans="1:1" x14ac:dyDescent="0.4">
      <c r="A56" s="29"/>
    </row>
    <row r="57" spans="1:1" x14ac:dyDescent="0.4">
      <c r="A57" s="29"/>
    </row>
    <row r="58" spans="1:1" x14ac:dyDescent="0.4">
      <c r="A58" s="29"/>
    </row>
    <row r="59" spans="1:1" x14ac:dyDescent="0.4">
      <c r="A59" s="29"/>
    </row>
    <row r="60" spans="1:1" x14ac:dyDescent="0.4">
      <c r="A60" s="29"/>
    </row>
    <row r="61" spans="1:1" x14ac:dyDescent="0.4">
      <c r="A61" s="29"/>
    </row>
    <row r="62" spans="1:1" x14ac:dyDescent="0.4">
      <c r="A62" s="29"/>
    </row>
    <row r="63" spans="1:1" x14ac:dyDescent="0.4">
      <c r="A63" s="29"/>
    </row>
    <row r="64" spans="1:1" x14ac:dyDescent="0.4">
      <c r="A64" s="29"/>
    </row>
    <row r="65" spans="1:1" x14ac:dyDescent="0.4">
      <c r="A65" s="29"/>
    </row>
    <row r="66" spans="1:1" x14ac:dyDescent="0.4">
      <c r="A66" s="29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2026-04-03T01:08:30Z</dcterms:modified>
</cp:coreProperties>
</file>